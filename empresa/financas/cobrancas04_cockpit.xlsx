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LATORIO_DIA" sheetId="1" state="visible" r:id="rId1"/>
    <sheet xmlns:r="http://schemas.openxmlformats.org/officeDocument/2006/relationships" name="macs_ips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A_DEVER" sheetId="4" state="visible" r:id="rId4"/>
    <sheet xmlns:r="http://schemas.openxmlformats.org/officeDocument/2006/relationships" name="EM_DIA" sheetId="5" state="visible" r:id="rId5"/>
    <sheet xmlns:r="http://schemas.openxmlformats.org/officeDocument/2006/relationships" name="SEM_CONTACTO" sheetId="6" state="visible" r:id="rId6"/>
    <sheet xmlns:r="http://schemas.openxmlformats.org/officeDocument/2006/relationships" name="SEM_RESPOSTA" sheetId="7" state="visible" r:id="rId7"/>
    <sheet xmlns:r="http://schemas.openxmlformats.org/officeDocument/2006/relationships" name="EM_ESPERA" sheetId="8" state="visible" r:id="rId8"/>
    <sheet xmlns:r="http://schemas.openxmlformats.org/officeDocument/2006/relationships" name="CANCELADO" sheetId="9" state="visible" r:id="rId9"/>
    <sheet xmlns:r="http://schemas.openxmlformats.org/officeDocument/2006/relationships" name="CORTADO" sheetId="10" state="visible" r:id="rId10"/>
  </sheets>
  <definedNames>
    <definedName name="_xlnm._FilterDatabase" localSheetId="3" hidden="1">'A_DEVER'!$A$2:$G$2</definedName>
    <definedName name="_xlnm._FilterDatabase" localSheetId="4" hidden="1">'EM_DIA'!$A$2:$G$2</definedName>
    <definedName name="_xlnm._FilterDatabase" localSheetId="5" hidden="1">'SEM_CONTACTO'!$A$2:$G$2</definedName>
    <definedName name="_xlnm._FilterDatabase" localSheetId="6" hidden="1">'SEM_RESPOSTA'!$A$2:$G$2</definedName>
    <definedName name="_xlnm._FilterDatabase" localSheetId="7" hidden="1">'EM_ESPERA'!$A$2:$G$2</definedName>
    <definedName name="_xlnm._FilterDatabase" localSheetId="8" hidden="1">'CANCELADO'!$A$2:$G$2</definedName>
    <definedName name="_xlnm._FilterDatabase" localSheetId="9" hidden="1">'CORTADO'!$A$2:$G$2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[$-409]m/d/yyyy\ h:mm"/>
    <numFmt numFmtId="166" formatCode="dd/mm/yyyy"/>
  </numFmts>
  <fonts count="17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333333"/>
      <sz val="11"/>
    </font>
    <font>
      <name val="Calibri"/>
      <family val="2"/>
      <color rgb="FFFFFF00"/>
      <sz val="11"/>
    </font>
    <font>
      <name val="Calibri"/>
      <family val="2"/>
      <color rgb="FF00CCFF"/>
      <sz val="11"/>
    </font>
    <font>
      <name val="Calibri"/>
      <family val="2"/>
      <color rgb="FF339966"/>
      <sz val="11"/>
    </font>
    <font>
      <name val="Calibri"/>
      <family val="2"/>
      <color rgb="FFFF6600"/>
      <sz val="11"/>
    </font>
    <font>
      <name val="Calibri"/>
      <family val="2"/>
      <color rgb="FFFF0000"/>
      <sz val="11"/>
    </font>
    <font>
      <name val="Calibri"/>
      <family val="2"/>
      <sz val="11"/>
    </font>
    <font>
      <name val="Calibri"/>
      <family val="2"/>
      <color rgb="FF800080"/>
      <sz val="11"/>
    </font>
    <font>
      <name val="Calibri"/>
      <family val="2"/>
      <color rgb="FF0066CC"/>
      <sz val="11"/>
    </font>
    <font>
      <b val="1"/>
    </font>
    <font>
      <b val="1"/>
      <color rgb="00FFFFFF"/>
      <sz val="14"/>
    </font>
    <font>
      <b val="1"/>
      <color rgb="00FFFFFF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001F4E7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16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style="17" min="1" max="1"/>
    <col width="14" customWidth="1" style="17" min="2" max="2"/>
  </cols>
  <sheetData>
    <row r="1">
      <c r="A1" s="18" t="inlineStr">
        <is>
          <t>Relatório diário</t>
        </is>
      </c>
    </row>
    <row r="2">
      <c r="A2" t="inlineStr">
        <is>
          <t>Data:</t>
        </is>
      </c>
      <c r="B2" s="19">
        <f>TODAY()</f>
        <v/>
      </c>
    </row>
    <row r="4">
      <c r="A4" t="inlineStr">
        <is>
          <t>Total de registos</t>
        </is>
      </c>
      <c r="B4">
        <f>COUNTA(macs_ips!$A$2:$A$403)</f>
        <v/>
      </c>
    </row>
    <row r="5">
      <c r="A5" t="inlineStr">
        <is>
          <t>A dever</t>
        </is>
      </c>
      <c r="B5">
        <f>COUNTIF(macs_ips!$E$2:$E$403,"A dever")</f>
        <v/>
      </c>
    </row>
    <row r="6">
      <c r="A6" t="inlineStr">
        <is>
          <t>Em dia</t>
        </is>
      </c>
      <c r="B6">
        <f>COUNTIF(macs_ips!$E$2:$E$403,"Em dia")</f>
        <v/>
      </c>
    </row>
    <row r="7">
      <c r="A7" t="inlineStr">
        <is>
          <t>Sem contacto</t>
        </is>
      </c>
      <c r="B7">
        <f>COUNTIF(macs_ips!$E$2:$E$403,"Sem contacto")</f>
        <v/>
      </c>
    </row>
    <row r="8">
      <c r="A8" t="inlineStr">
        <is>
          <t>Sem resposta</t>
        </is>
      </c>
      <c r="B8">
        <f>COUNTIF(macs_ips!$E$2:$E$403,"Sem resposta")</f>
        <v/>
      </c>
    </row>
    <row r="9">
      <c r="A9" t="inlineStr">
        <is>
          <t>Expirados (data exp &lt; hoje)</t>
        </is>
      </c>
      <c r="B9">
        <f>COUNTIFS(macs_ips!$D$2:$D$403,"&lt;"&amp;TODAY(),macs_ips!$D$2:$D$403,"&lt;&gt;")</f>
        <v/>
      </c>
    </row>
    <row r="10">
      <c r="A10" t="inlineStr">
        <is>
          <t>Próximas ações (&lt;= hoje)</t>
        </is>
      </c>
      <c r="B10">
        <f>COUNTIFS(macs_ips!$F$2:$F$403,"&lt;="&amp;TODAY(),macs_ips!$F$2:$F$403,"&lt;&gt;")</f>
        <v/>
      </c>
    </row>
    <row r="11">
      <c r="A11" t="inlineStr">
        <is>
          <t>Próximas ações (próx. 7 dias)</t>
        </is>
      </c>
      <c r="B11">
        <f>COUNTIFS(macs_ips!$F$2:$F$403,"&gt;="&amp;TODAY(),macs_ips!$F$2:$F$403,"&lt;="&amp;TODAY()+7)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4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5.85" customWidth="1" style="20" min="1" max="1"/>
    <col width="12.7" customWidth="1" style="20" min="2" max="2"/>
    <col width="15.56" customWidth="1" style="20" min="3" max="3"/>
    <col width="15.41" customWidth="1" style="20" min="4" max="4"/>
    <col width="12.7" customWidth="1" style="20" min="5" max="5"/>
    <col width="15.85" customWidth="1" style="20" min="6" max="6"/>
    <col width="31.28" customWidth="1" style="20" min="7" max="7"/>
    <col width="8" customWidth="1" style="17" min="8" max="8"/>
  </cols>
  <sheetData>
    <row r="1" ht="15" customHeight="1" s="17">
      <c r="A1" s="20" t="inlineStr">
        <is>
          <t>MAC</t>
        </is>
      </c>
      <c r="B1" s="20" t="inlineStr">
        <is>
          <t>Ips</t>
        </is>
      </c>
      <c r="C1" s="20" t="inlineStr">
        <is>
          <t>Contactos</t>
        </is>
      </c>
      <c r="D1" s="20" t="inlineStr">
        <is>
          <t>data exp</t>
        </is>
      </c>
      <c r="E1" s="20" t="inlineStr">
        <is>
          <t>Situação</t>
        </is>
      </c>
      <c r="F1" s="20" t="inlineStr">
        <is>
          <t>data da proxima ação</t>
        </is>
      </c>
      <c r="G1" s="20" t="inlineStr">
        <is>
          <t>observação</t>
        </is>
      </c>
      <c r="H1" s="21" t="inlineStr">
        <is>
          <t>RowID</t>
        </is>
      </c>
    </row>
    <row r="2" ht="15" customHeight="1" s="17">
      <c r="A2" s="22" t="inlineStr">
        <is>
          <t>18:e8:29:34:9c:c0</t>
        </is>
      </c>
      <c r="B2" s="22" t="inlineStr">
        <is>
          <t>10.12.252.168</t>
        </is>
      </c>
      <c r="C2" s="23" t="n">
        <v>862052606</v>
      </c>
      <c r="D2" s="24" t="n">
        <v>45911</v>
      </c>
      <c r="E2" s="25" t="inlineStr">
        <is>
          <t>sem resposta</t>
        </is>
      </c>
      <c r="F2" s="25" t="n"/>
      <c r="H2" t="n">
        <v>1</v>
      </c>
    </row>
    <row r="3" ht="15" customHeight="1" s="17">
      <c r="A3" s="22" t="inlineStr">
        <is>
          <t>fc:ec:da:52:18:4f</t>
        </is>
      </c>
      <c r="B3" s="22" t="inlineStr">
        <is>
          <t>10.12.252.50</t>
        </is>
      </c>
      <c r="C3" s="22" t="n">
        <v>843443902</v>
      </c>
      <c r="D3" s="26" t="n">
        <v>45907</v>
      </c>
      <c r="E3" s="25" t="inlineStr">
        <is>
          <t>sem resposta</t>
        </is>
      </c>
      <c r="F3" s="25" t="n"/>
      <c r="H3" t="n">
        <v>2</v>
      </c>
    </row>
    <row r="4" ht="15" customHeight="1" s="17">
      <c r="A4" s="22" t="inlineStr">
        <is>
          <t>f4:92:bf:f0:a2:c3</t>
        </is>
      </c>
      <c r="B4" s="22" t="inlineStr">
        <is>
          <t>10.12.252.92</t>
        </is>
      </c>
      <c r="C4" s="22" t="n">
        <v>845100103</v>
      </c>
      <c r="D4" s="26" t="n">
        <v>45757</v>
      </c>
      <c r="E4" s="25" t="inlineStr">
        <is>
          <t>sem resposta</t>
        </is>
      </c>
      <c r="F4" s="25" t="n"/>
      <c r="H4" t="n">
        <v>3</v>
      </c>
    </row>
    <row r="5" ht="15" customHeight="1" s="17">
      <c r="A5" s="22" t="inlineStr">
        <is>
          <t>f4:e2:c6:82:5e:d5</t>
        </is>
      </c>
      <c r="B5" s="22" t="inlineStr">
        <is>
          <t>10.12.254.112</t>
        </is>
      </c>
      <c r="C5" s="22" t="n">
        <v>843688770</v>
      </c>
      <c r="D5" s="26" t="n">
        <v>45987</v>
      </c>
      <c r="E5" s="27" t="inlineStr">
        <is>
          <t>em espera</t>
        </is>
      </c>
      <c r="F5" s="27" t="n"/>
      <c r="G5" s="22" t="inlineStr">
        <is>
          <t>no ultimo contacto o cliente disse que estava na teledata</t>
        </is>
      </c>
      <c r="H5" t="n">
        <v>4</v>
      </c>
    </row>
    <row r="6" ht="15" customHeight="1" s="17">
      <c r="A6" s="22" t="inlineStr">
        <is>
          <t>fc:ec:da:58:e0:fc</t>
        </is>
      </c>
      <c r="B6" s="22" t="inlineStr">
        <is>
          <t>10.12.254.163</t>
        </is>
      </c>
      <c r="C6" s="22" t="n">
        <v>865019473</v>
      </c>
      <c r="D6" s="26" t="n">
        <v>45946</v>
      </c>
      <c r="E6" s="28" t="inlineStr">
        <is>
          <t>continua</t>
        </is>
      </c>
      <c r="F6" s="28" t="n"/>
      <c r="G6" s="22" t="inlineStr">
        <is>
          <t>proxima semana</t>
        </is>
      </c>
      <c r="H6" t="n">
        <v>5</v>
      </c>
    </row>
    <row r="7" ht="15" customHeight="1" s="17">
      <c r="A7" s="22" t="inlineStr">
        <is>
          <t>18:e8:29:3e:d8:f8</t>
        </is>
      </c>
      <c r="B7" s="22" t="inlineStr">
        <is>
          <t>10.12.254.188</t>
        </is>
      </c>
      <c r="C7" s="22" t="n">
        <v>876077745</v>
      </c>
      <c r="D7" s="26" t="n">
        <v>45981</v>
      </c>
      <c r="E7" s="28" t="inlineStr">
        <is>
          <t>continua</t>
        </is>
      </c>
      <c r="F7" s="28" t="n"/>
      <c r="G7" s="22" t="inlineStr">
        <is>
          <t>proxima semana</t>
        </is>
      </c>
      <c r="H7" t="n">
        <v>6</v>
      </c>
    </row>
    <row r="8" ht="15" customHeight="1" s="17">
      <c r="A8" s="22" t="inlineStr">
        <is>
          <t>f4:e2:c6:92:c8:ba</t>
        </is>
      </c>
      <c r="B8" s="22" t="inlineStr">
        <is>
          <t>10.12.254.216</t>
        </is>
      </c>
      <c r="C8" s="22" t="n">
        <v>847894281</v>
      </c>
      <c r="D8" s="26" t="n">
        <v>45995</v>
      </c>
      <c r="E8" s="28" t="inlineStr">
        <is>
          <t>continua</t>
        </is>
      </c>
      <c r="F8" s="28" t="n"/>
      <c r="G8" s="22" t="inlineStr">
        <is>
          <t>proxima semana</t>
        </is>
      </c>
      <c r="H8" t="n">
        <v>7</v>
      </c>
    </row>
    <row r="9" ht="15" customHeight="1" s="17">
      <c r="A9" s="22" t="inlineStr">
        <is>
          <t>18:e8:29:34:9f:46</t>
        </is>
      </c>
      <c r="B9" s="22" t="inlineStr">
        <is>
          <t>10.12.254.223</t>
        </is>
      </c>
      <c r="C9" s="22" t="n">
        <v>843460491</v>
      </c>
      <c r="D9" s="26" t="n">
        <v>46009</v>
      </c>
      <c r="E9" s="28" t="inlineStr">
        <is>
          <t>continua</t>
        </is>
      </c>
      <c r="F9" s="28" t="n"/>
      <c r="G9" s="22" t="inlineStr">
        <is>
          <t>proxima semana</t>
        </is>
      </c>
      <c r="H9" t="n">
        <v>8</v>
      </c>
    </row>
    <row r="10" ht="15" customHeight="1" s="17">
      <c r="A10" s="22" t="inlineStr">
        <is>
          <t>78:8a:20:e6:18:f7</t>
        </is>
      </c>
      <c r="B10" s="22" t="inlineStr">
        <is>
          <t>10.12.254.228</t>
        </is>
      </c>
      <c r="C10" s="22" t="n">
        <v>867178868</v>
      </c>
      <c r="D10" s="26" t="n">
        <v>45904</v>
      </c>
      <c r="E10" s="28" t="inlineStr">
        <is>
          <t>continua</t>
        </is>
      </c>
      <c r="F10" s="28" t="n"/>
      <c r="G10" s="22" t="inlineStr">
        <is>
          <t>proxima semana</t>
        </is>
      </c>
      <c r="H10" t="n">
        <v>9</v>
      </c>
    </row>
    <row r="11" ht="15" customHeight="1" s="17">
      <c r="A11" s="22" t="inlineStr">
        <is>
          <t>f0:9f:c2:88:eb:0f</t>
        </is>
      </c>
      <c r="B11" s="22" t="inlineStr">
        <is>
          <t>10.12.254.44</t>
        </is>
      </c>
      <c r="C11" s="22" t="n">
        <v>877124635</v>
      </c>
      <c r="D11" s="26" t="n">
        <v>45989</v>
      </c>
      <c r="E11" s="27" t="inlineStr">
        <is>
          <t>em espera</t>
        </is>
      </c>
      <c r="F11" s="27" t="n"/>
      <c r="G11" s="29" t="inlineStr">
        <is>
          <t>Remoção do Equipamennto</t>
        </is>
      </c>
      <c r="H11" t="n">
        <v>10</v>
      </c>
    </row>
    <row r="12" ht="15" customHeight="1" s="17">
      <c r="A12" s="22" t="inlineStr">
        <is>
          <t>60:22:32:d8:71:99</t>
        </is>
      </c>
      <c r="B12" s="22" t="inlineStr">
        <is>
          <t>10.12.254.56</t>
        </is>
      </c>
      <c r="C12" s="22" t="n">
        <v>866152424</v>
      </c>
      <c r="D12" s="26" t="n">
        <v>46012</v>
      </c>
      <c r="E12" s="30" t="inlineStr">
        <is>
          <t>cancelou</t>
        </is>
      </c>
      <c r="F12" s="26" t="n">
        <v>46063</v>
      </c>
      <c r="G12" s="26" t="inlineStr">
        <is>
          <t>Remoção do Equipamennto</t>
        </is>
      </c>
      <c r="H12" t="n">
        <v>11</v>
      </c>
    </row>
    <row r="13" ht="15" customHeight="1" s="17">
      <c r="A13" s="22" t="inlineStr">
        <is>
          <t>68:d7:9a:aa:b9:6a</t>
        </is>
      </c>
      <c r="B13" s="22" t="inlineStr">
        <is>
          <t>10.12.254.78</t>
        </is>
      </c>
      <c r="C13" s="22" t="n">
        <v>842145742</v>
      </c>
      <c r="D13" s="26" t="n">
        <v>45959</v>
      </c>
      <c r="E13" s="30" t="inlineStr">
        <is>
          <t>cancelou</t>
        </is>
      </c>
      <c r="F13" s="30" t="n"/>
      <c r="G13" s="22" t="inlineStr">
        <is>
          <t>Equipamento atribuido a outro cliente</t>
        </is>
      </c>
      <c r="H13" t="n">
        <v>12</v>
      </c>
    </row>
    <row r="14" ht="15" customHeight="1" s="17">
      <c r="A14" s="22" t="inlineStr">
        <is>
          <t>18:e8:29:da:12:fa</t>
        </is>
      </c>
      <c r="B14" s="22" t="inlineStr">
        <is>
          <t>10.12.254.86</t>
        </is>
      </c>
      <c r="C14" s="22" t="n">
        <v>841828585</v>
      </c>
      <c r="D14" s="26" t="n">
        <v>46014</v>
      </c>
      <c r="E14" s="28" t="inlineStr">
        <is>
          <t>continua</t>
        </is>
      </c>
      <c r="F14" s="28" t="n"/>
      <c r="G14" s="22" t="inlineStr">
        <is>
          <t>por informar</t>
        </is>
      </c>
      <c r="H14" t="n">
        <v>13</v>
      </c>
    </row>
    <row r="15" ht="15" customHeight="1" s="17">
      <c r="A15" s="22" t="inlineStr">
        <is>
          <t>68:d7:9a:9e:d8:12</t>
        </is>
      </c>
      <c r="B15" s="22" t="inlineStr">
        <is>
          <t>10.16.254.139</t>
        </is>
      </c>
      <c r="C15" s="22" t="n">
        <v>842638818</v>
      </c>
      <c r="D15" s="26" t="n">
        <v>45603</v>
      </c>
      <c r="E15" s="25" t="inlineStr">
        <is>
          <t>sem resposta</t>
        </is>
      </c>
      <c r="F15" s="25" t="n"/>
      <c r="H15" t="n">
        <v>14</v>
      </c>
    </row>
    <row r="16" ht="15" customHeight="1" s="17">
      <c r="A16" s="22" t="inlineStr">
        <is>
          <t>24:5a:4c:d0:d4:cf</t>
        </is>
      </c>
      <c r="B16" s="22" t="inlineStr">
        <is>
          <t>10.16.254.141</t>
        </is>
      </c>
      <c r="C16" s="22" t="n">
        <v>844778290</v>
      </c>
      <c r="D16" s="26" t="n">
        <v>46021</v>
      </c>
      <c r="E16" s="25" t="inlineStr">
        <is>
          <t>sem resposta</t>
        </is>
      </c>
      <c r="F16" s="25" t="n"/>
      <c r="H16" t="n">
        <v>15</v>
      </c>
    </row>
    <row r="17" ht="15" customHeight="1" s="17">
      <c r="A17" s="22" t="inlineStr">
        <is>
          <t>f4:e2:c6:92:c5:d9</t>
        </is>
      </c>
      <c r="B17" s="22" t="inlineStr">
        <is>
          <t>10.16.254.3</t>
        </is>
      </c>
      <c r="C17" s="22" t="n">
        <v>843999330</v>
      </c>
      <c r="D17" s="26" t="n">
        <v>45831</v>
      </c>
      <c r="E17" s="27" t="inlineStr">
        <is>
          <t>em espera</t>
        </is>
      </c>
      <c r="F17" s="27" t="n"/>
      <c r="H17" t="n">
        <v>16</v>
      </c>
    </row>
    <row r="18" ht="15" customHeight="1" s="17">
      <c r="A18" s="22" t="inlineStr">
        <is>
          <t>60:22:32:d8:72:60</t>
        </is>
      </c>
      <c r="B18" s="22" t="inlineStr">
        <is>
          <t>10.16.254.78</t>
        </is>
      </c>
      <c r="C18" s="22" t="n">
        <v>847028726</v>
      </c>
      <c r="D18" s="26" t="n">
        <v>46008</v>
      </c>
      <c r="E18" s="28" t="inlineStr">
        <is>
          <t>continua</t>
        </is>
      </c>
      <c r="F18" s="31" t="n">
        <v>46058</v>
      </c>
      <c r="G18" s="31" t="inlineStr">
        <is>
          <t>pago</t>
        </is>
      </c>
      <c r="H18" t="n">
        <v>17</v>
      </c>
    </row>
    <row r="19" ht="15" customHeight="1" s="17">
      <c r="A19" s="22" t="inlineStr">
        <is>
          <t>68:d7:9a:aa:b8:d8</t>
        </is>
      </c>
      <c r="B19" s="22" t="inlineStr">
        <is>
          <t>10.22.100.13</t>
        </is>
      </c>
      <c r="C19" s="22" t="n">
        <v>842811466</v>
      </c>
      <c r="D19" s="26" t="n">
        <v>45911</v>
      </c>
      <c r="E19" s="25" t="inlineStr">
        <is>
          <t>sem resposta</t>
        </is>
      </c>
      <c r="F19" s="25" t="n"/>
      <c r="H19" t="n">
        <v>18</v>
      </c>
    </row>
    <row r="20" ht="15" customHeight="1" s="17">
      <c r="A20" s="22" t="inlineStr">
        <is>
          <t>60:22:32:d4:6d:a5</t>
        </is>
      </c>
      <c r="B20" s="22" t="inlineStr">
        <is>
          <t>10.22.100.21</t>
        </is>
      </c>
      <c r="C20" s="22" t="n">
        <v>848192044</v>
      </c>
      <c r="D20" s="26" t="n">
        <v>45982</v>
      </c>
      <c r="E20" s="25" t="inlineStr">
        <is>
          <t>sem resposta</t>
        </is>
      </c>
      <c r="F20" s="25" t="n"/>
      <c r="G20" s="26" t="n"/>
      <c r="H20" t="n">
        <v>19</v>
      </c>
    </row>
    <row r="21" ht="15" customHeight="1" s="17">
      <c r="A21" s="22" t="inlineStr">
        <is>
          <t>f4:e2:c6:92:92:1b</t>
        </is>
      </c>
      <c r="B21" s="22" t="inlineStr">
        <is>
          <t>10.22.100.27</t>
        </is>
      </c>
      <c r="C21" s="22" t="n">
        <v>847502455</v>
      </c>
      <c r="D21" s="26" t="n">
        <v>45870</v>
      </c>
      <c r="E21" s="28" t="inlineStr">
        <is>
          <t>continua</t>
        </is>
      </c>
      <c r="F21" s="31" t="n">
        <v>46058</v>
      </c>
      <c r="G21" s="32" t="inlineStr">
        <is>
          <t>pago</t>
        </is>
      </c>
      <c r="H21" t="n">
        <v>20</v>
      </c>
    </row>
    <row r="22" ht="15" customHeight="1" s="17">
      <c r="A22" s="22" t="inlineStr">
        <is>
          <t>fc:ec:da:6e:0a:ea</t>
        </is>
      </c>
      <c r="B22" s="22" t="inlineStr">
        <is>
          <t>10.22.102.12</t>
        </is>
      </c>
      <c r="C22" s="22" t="n">
        <v>847101009</v>
      </c>
      <c r="D22" s="26" t="n">
        <v>46087</v>
      </c>
      <c r="E22" s="28" t="inlineStr">
        <is>
          <t>continua</t>
        </is>
      </c>
      <c r="F22" s="28" t="n"/>
      <c r="G22" s="32" t="inlineStr">
        <is>
          <t>pago</t>
        </is>
      </c>
      <c r="H22" t="n">
        <v>21</v>
      </c>
    </row>
    <row r="23" ht="15" customHeight="1" s="17">
      <c r="A23" s="22" t="inlineStr">
        <is>
          <t>e0:63:da:48:6e:ee</t>
        </is>
      </c>
      <c r="B23" s="22" t="inlineStr">
        <is>
          <t>10.22.102.140</t>
        </is>
      </c>
      <c r="C23" s="22" t="n">
        <v>823184720</v>
      </c>
      <c r="D23" s="26" t="n">
        <v>46016</v>
      </c>
      <c r="E23" s="25" t="inlineStr">
        <is>
          <t>sem resposta</t>
        </is>
      </c>
      <c r="F23" s="25" t="n"/>
      <c r="H23" t="n">
        <v>22</v>
      </c>
    </row>
    <row r="24" ht="15" customHeight="1" s="17">
      <c r="A24" s="22" t="inlineStr">
        <is>
          <t>70:a7:41:18:82:61</t>
        </is>
      </c>
      <c r="B24" s="22" t="inlineStr">
        <is>
          <t>10.22.102.143</t>
        </is>
      </c>
      <c r="C24" s="22" t="n">
        <v>841444459</v>
      </c>
      <c r="D24" s="26" t="n">
        <v>45928</v>
      </c>
      <c r="E24" s="28" t="inlineStr">
        <is>
          <t>continua</t>
        </is>
      </c>
      <c r="F24" s="28" t="n"/>
      <c r="G24" s="22" t="inlineStr">
        <is>
          <t>por informar</t>
        </is>
      </c>
      <c r="H24" t="n">
        <v>23</v>
      </c>
    </row>
    <row r="25" ht="15" customHeight="1" s="17">
      <c r="A25" s="22" t="inlineStr">
        <is>
          <t>04:18:d6:e8:94:7a</t>
        </is>
      </c>
      <c r="B25" s="22" t="inlineStr">
        <is>
          <t>10.22.102.157</t>
        </is>
      </c>
      <c r="C25" s="22" t="inlineStr">
        <is>
          <t>sem contacto valido</t>
        </is>
      </c>
      <c r="D25" s="26" t="n">
        <v>45934</v>
      </c>
      <c r="E25" s="22" t="inlineStr">
        <is>
          <t>…...........</t>
        </is>
      </c>
      <c r="G25" s="22" t="inlineStr">
        <is>
          <t>a aguardar por novas informações</t>
        </is>
      </c>
      <c r="H25" t="n">
        <v>24</v>
      </c>
    </row>
    <row r="26" ht="15" customHeight="1" s="17">
      <c r="A26" s="22" t="inlineStr">
        <is>
          <t>04:18:d6:54:d2:69</t>
        </is>
      </c>
      <c r="B26" s="22" t="inlineStr">
        <is>
          <t>10.22.102.176</t>
        </is>
      </c>
      <c r="C26" s="22" t="n">
        <v>874902520</v>
      </c>
      <c r="D26" s="26" t="n">
        <v>45931</v>
      </c>
      <c r="E26" s="25" t="inlineStr">
        <is>
          <t>sem resposta</t>
        </is>
      </c>
      <c r="F26" s="25" t="n"/>
      <c r="H26" t="n">
        <v>25</v>
      </c>
    </row>
    <row r="27" ht="15" customHeight="1" s="17">
      <c r="A27" s="22" t="inlineStr">
        <is>
          <t>e0:63:da:4c:26:97</t>
        </is>
      </c>
      <c r="B27" s="22" t="inlineStr">
        <is>
          <t>10.22.102.178</t>
        </is>
      </c>
      <c r="C27" s="22" t="n">
        <v>864586127</v>
      </c>
      <c r="D27" s="26" t="n">
        <v>45970</v>
      </c>
      <c r="E27" s="25" t="inlineStr">
        <is>
          <t>sem resposta</t>
        </is>
      </c>
      <c r="F27" s="25" t="n"/>
      <c r="H27" t="n">
        <v>26</v>
      </c>
    </row>
    <row r="28" ht="15" customHeight="1" s="17">
      <c r="A28" s="22" t="inlineStr">
        <is>
          <t>44:d9:e7:2a:41:e6</t>
        </is>
      </c>
      <c r="B28" s="22" t="inlineStr">
        <is>
          <t>10.22.102.183</t>
        </is>
      </c>
      <c r="C28" s="22" t="n">
        <v>824717650</v>
      </c>
      <c r="D28" s="26" t="n">
        <v>45995</v>
      </c>
      <c r="E28" s="28" t="inlineStr">
        <is>
          <t>continua</t>
        </is>
      </c>
      <c r="F28" s="26" t="n">
        <v>46064</v>
      </c>
      <c r="G28" s="26" t="inlineStr">
        <is>
          <t>Pagamento</t>
        </is>
      </c>
      <c r="H28" t="n">
        <v>27</v>
      </c>
    </row>
    <row r="29" ht="15" customHeight="1" s="17">
      <c r="A29" s="22" t="inlineStr">
        <is>
          <t>60:22:32:ce:7f:8a</t>
        </is>
      </c>
      <c r="B29" s="22" t="inlineStr">
        <is>
          <t>10.22.102.199</t>
        </is>
      </c>
      <c r="C29" s="22" t="n">
        <v>870049329</v>
      </c>
      <c r="D29" s="26" t="n">
        <v>45868</v>
      </c>
      <c r="E29" s="25" t="inlineStr">
        <is>
          <t>sem resposta</t>
        </is>
      </c>
      <c r="F29" s="25" t="n"/>
      <c r="H29" t="n">
        <v>28</v>
      </c>
    </row>
    <row r="30" ht="15" customHeight="1" s="17">
      <c r="A30" s="22" t="inlineStr">
        <is>
          <t>60:22:32:ce:85:71</t>
        </is>
      </c>
      <c r="B30" s="22" t="inlineStr">
        <is>
          <t>10.22.102.200</t>
        </is>
      </c>
      <c r="C30" s="22" t="n">
        <v>845890085</v>
      </c>
      <c r="D30" s="26" t="n">
        <v>45469</v>
      </c>
      <c r="E30" s="25" t="inlineStr">
        <is>
          <t>sem resposta</t>
        </is>
      </c>
      <c r="F30" s="25" t="n"/>
      <c r="H30" t="n">
        <v>29</v>
      </c>
    </row>
    <row r="31" ht="15" customHeight="1" s="17">
      <c r="A31" s="22" t="inlineStr">
        <is>
          <t>60:22:32:ce:87:0e</t>
        </is>
      </c>
      <c r="B31" s="22" t="inlineStr">
        <is>
          <t>10.22.102.217</t>
        </is>
      </c>
      <c r="C31" s="22" t="n">
        <v>824985320</v>
      </c>
      <c r="D31" s="26" t="n">
        <v>45935</v>
      </c>
      <c r="E31" s="27" t="inlineStr">
        <is>
          <t>em espera</t>
        </is>
      </c>
      <c r="F31" s="27" t="n"/>
      <c r="H31" t="n">
        <v>30</v>
      </c>
    </row>
    <row r="32" ht="15" customHeight="1" s="17">
      <c r="A32" s="22" t="inlineStr">
        <is>
          <t>60:22:32:d8:5e:ce</t>
        </is>
      </c>
      <c r="B32" s="22" t="inlineStr">
        <is>
          <t>10.22.102.226</t>
        </is>
      </c>
      <c r="C32" s="22" t="n">
        <v>842398560</v>
      </c>
      <c r="D32" s="26" t="n">
        <v>45953</v>
      </c>
      <c r="E32" s="28" t="inlineStr">
        <is>
          <t>continua</t>
        </is>
      </c>
      <c r="F32" s="28" t="n"/>
      <c r="G32" s="22" t="inlineStr">
        <is>
          <t>por informar</t>
        </is>
      </c>
      <c r="H32" t="n">
        <v>31</v>
      </c>
    </row>
    <row r="33" ht="15" customHeight="1" s="17">
      <c r="A33" s="22" t="inlineStr">
        <is>
          <t>f4:e2:c6:92:f0:7d</t>
        </is>
      </c>
      <c r="B33" s="22" t="inlineStr">
        <is>
          <t>10.22.102.252</t>
        </is>
      </c>
      <c r="C33" s="22" t="n">
        <v>863434230</v>
      </c>
      <c r="D33" s="26" t="n">
        <v>45801</v>
      </c>
      <c r="E33" s="28" t="inlineStr">
        <is>
          <t>continua</t>
        </is>
      </c>
      <c r="F33" s="31" t="n">
        <v>46058</v>
      </c>
      <c r="G33" s="33" t="inlineStr">
        <is>
          <t>pago</t>
        </is>
      </c>
      <c r="H33" t="n">
        <v>32</v>
      </c>
    </row>
    <row r="34" ht="15" customHeight="1" s="17">
      <c r="A34" s="22" t="inlineStr">
        <is>
          <t>f4:e2:c6:92:90:7c</t>
        </is>
      </c>
      <c r="B34" s="22" t="inlineStr">
        <is>
          <t>10.22.102.36</t>
        </is>
      </c>
      <c r="C34" s="22" t="n">
        <v>863452684</v>
      </c>
      <c r="D34" s="26" t="n">
        <v>45892</v>
      </c>
      <c r="E34" s="30" t="inlineStr">
        <is>
          <t>cancelou</t>
        </is>
      </c>
      <c r="F34" s="34" t="n">
        <v>46058.52083333334</v>
      </c>
      <c r="G34" s="35" t="inlineStr">
        <is>
          <t>Remoção do Equipamennto</t>
        </is>
      </c>
      <c r="H34" t="n">
        <v>33</v>
      </c>
    </row>
    <row r="35" ht="15" customHeight="1" s="17">
      <c r="A35" s="22" t="inlineStr">
        <is>
          <t>04:18:d6:96:84:16</t>
        </is>
      </c>
      <c r="B35" s="22" t="inlineStr">
        <is>
          <t>10.22.102.53</t>
        </is>
      </c>
      <c r="C35" s="22" t="n">
        <v>843155720</v>
      </c>
      <c r="D35" s="26" t="n">
        <v>45993</v>
      </c>
      <c r="E35" s="25" t="inlineStr">
        <is>
          <t>sem resposta</t>
        </is>
      </c>
      <c r="F35" s="25" t="n"/>
      <c r="H35" t="n">
        <v>34</v>
      </c>
    </row>
    <row r="36" ht="15" customHeight="1" s="17">
      <c r="A36" s="22" t="inlineStr">
        <is>
          <t>fc:ec:da:26:c7:48</t>
        </is>
      </c>
      <c r="B36" s="22" t="inlineStr">
        <is>
          <t>10.22.102.60</t>
        </is>
      </c>
      <c r="C36" s="22" t="n">
        <v>847778607</v>
      </c>
      <c r="D36" s="26" t="n">
        <v>45759</v>
      </c>
      <c r="E36" s="27" t="inlineStr">
        <is>
          <t>em espera</t>
        </is>
      </c>
      <c r="F36" s="27" t="n"/>
      <c r="H36" t="n">
        <v>35</v>
      </c>
    </row>
    <row r="37" ht="15" customHeight="1" s="17">
      <c r="A37" s="22" t="inlineStr">
        <is>
          <t>9c:05:d6:8c:5c:94</t>
        </is>
      </c>
      <c r="B37" s="22" t="inlineStr">
        <is>
          <t>10.22.102.99</t>
        </is>
      </c>
      <c r="C37" s="22" t="n">
        <v>847720619</v>
      </c>
      <c r="D37" s="26" t="n">
        <v>45869</v>
      </c>
      <c r="E37" s="25" t="inlineStr">
        <is>
          <t>sem resposta</t>
        </is>
      </c>
      <c r="F37" s="25" t="n"/>
      <c r="H37" t="n">
        <v>36</v>
      </c>
    </row>
    <row r="38" ht="15" customHeight="1" s="17">
      <c r="A38" s="22" t="inlineStr">
        <is>
          <t>28:70:4e:ba:e6:e8</t>
        </is>
      </c>
      <c r="B38" s="22" t="inlineStr">
        <is>
          <t>10.22.103.107</t>
        </is>
      </c>
      <c r="C38" s="22" t="n">
        <v>861581111</v>
      </c>
      <c r="D38" s="26" t="n">
        <v>46015</v>
      </c>
      <c r="E38" s="28" t="inlineStr">
        <is>
          <t>continua</t>
        </is>
      </c>
      <c r="F38" s="28" t="n"/>
      <c r="G38" s="22" t="inlineStr">
        <is>
          <t>proxima semana</t>
        </is>
      </c>
      <c r="H38" t="n">
        <v>37</v>
      </c>
    </row>
    <row r="39" ht="15" customHeight="1" s="17">
      <c r="A39" s="22" t="inlineStr">
        <is>
          <t>44:d9:e7:0a:fd:89</t>
        </is>
      </c>
      <c r="B39" s="22" t="inlineStr">
        <is>
          <t>10.22.103.4</t>
        </is>
      </c>
      <c r="C39" s="22" t="n">
        <v>877001985</v>
      </c>
      <c r="D39" s="26" t="n">
        <v>45473</v>
      </c>
      <c r="E39" s="25" t="inlineStr">
        <is>
          <t>sem resposta</t>
        </is>
      </c>
      <c r="F39" s="25" t="n"/>
      <c r="H39" t="n">
        <v>38</v>
      </c>
    </row>
    <row r="40" ht="15" customHeight="1" s="17">
      <c r="A40" s="22" t="inlineStr">
        <is>
          <t>f4:e2:c6:88:21:55</t>
        </is>
      </c>
      <c r="B40" s="22" t="inlineStr">
        <is>
          <t>10.22.103.43</t>
        </is>
      </c>
      <c r="C40" s="22" t="n">
        <v>870236950</v>
      </c>
      <c r="D40" s="26" t="n">
        <v>46003</v>
      </c>
      <c r="E40" s="25" t="inlineStr">
        <is>
          <t>sem resposta</t>
        </is>
      </c>
      <c r="F40" s="25" t="n"/>
      <c r="H40" t="n">
        <v>39</v>
      </c>
    </row>
    <row r="41" ht="15" customHeight="1" s="17">
      <c r="A41" s="22" t="inlineStr">
        <is>
          <t>18:e8:29:d4:d6:f5</t>
        </is>
      </c>
      <c r="B41" s="22" t="inlineStr">
        <is>
          <t>10.22.103.60</t>
        </is>
      </c>
      <c r="C41" s="22" t="n">
        <v>845952835</v>
      </c>
      <c r="D41" s="26" t="n">
        <v>45898</v>
      </c>
      <c r="E41" s="25" t="inlineStr">
        <is>
          <t>sem resposta</t>
        </is>
      </c>
      <c r="F41" s="25" t="n"/>
      <c r="H41" t="n">
        <v>40</v>
      </c>
    </row>
    <row r="42" ht="15" customHeight="1" s="17">
      <c r="A42" s="22" t="inlineStr">
        <is>
          <t>f4:e2:c6:8e:3e:60</t>
        </is>
      </c>
      <c r="B42" s="22" t="inlineStr">
        <is>
          <t>10.22.103.75</t>
        </is>
      </c>
      <c r="C42" s="22" t="n">
        <v>876659655</v>
      </c>
      <c r="D42" s="26" t="n">
        <v>45324</v>
      </c>
      <c r="E42" s="25" t="inlineStr">
        <is>
          <t>sem resposta</t>
        </is>
      </c>
      <c r="F42" s="25" t="n"/>
      <c r="H42" t="n">
        <v>41</v>
      </c>
    </row>
    <row r="43" ht="15" customHeight="1" s="17">
      <c r="A43" s="22" t="inlineStr">
        <is>
          <t>fc:ec:da:2a:f3:35</t>
        </is>
      </c>
      <c r="B43" s="22" t="inlineStr">
        <is>
          <t>10.22.103.87</t>
        </is>
      </c>
      <c r="C43" s="22" t="n">
        <v>833066155</v>
      </c>
      <c r="D43" s="26" t="n">
        <v>45924</v>
      </c>
      <c r="E43" s="25" t="inlineStr">
        <is>
          <t>sem resposta</t>
        </is>
      </c>
      <c r="F43" s="25" t="n"/>
      <c r="H43" t="n">
        <v>42</v>
      </c>
    </row>
    <row r="44" ht="15" customHeight="1" s="17">
      <c r="A44" s="22" t="inlineStr">
        <is>
          <t>60:22:32:d4:98:4e</t>
        </is>
      </c>
      <c r="B44" s="22" t="inlineStr">
        <is>
          <t>10.22.103.89</t>
        </is>
      </c>
      <c r="C44" s="22" t="n">
        <v>842064900</v>
      </c>
      <c r="D44" s="26" t="n">
        <v>45541</v>
      </c>
      <c r="E44" s="28" t="inlineStr">
        <is>
          <t>continua</t>
        </is>
      </c>
      <c r="F44" s="26" t="n">
        <v>46073</v>
      </c>
      <c r="G44" s="22" t="inlineStr">
        <is>
          <t>Pagamento</t>
        </is>
      </c>
      <c r="H44" t="n">
        <v>43</v>
      </c>
    </row>
    <row r="45" ht="15" customHeight="1" s="17">
      <c r="A45" s="22" t="inlineStr">
        <is>
          <t>24:5a:4c:bc:fc:e0</t>
        </is>
      </c>
      <c r="B45" s="22" t="inlineStr">
        <is>
          <t>10.22.103.90</t>
        </is>
      </c>
      <c r="C45" s="22" t="n">
        <v>848198000</v>
      </c>
      <c r="D45" s="26" t="n">
        <v>46018</v>
      </c>
      <c r="E45" s="28" t="inlineStr">
        <is>
          <t>continua</t>
        </is>
      </c>
      <c r="F45" s="26" t="n">
        <v>46086</v>
      </c>
      <c r="G45" s="22" t="inlineStr">
        <is>
          <t>contactar novamente</t>
        </is>
      </c>
      <c r="H45" t="n">
        <v>44</v>
      </c>
    </row>
    <row r="46" ht="15" customHeight="1" s="17">
      <c r="A46" s="22" t="inlineStr">
        <is>
          <t>f4:92:bf:f0:ac:1e</t>
        </is>
      </c>
      <c r="B46" s="22" t="inlineStr">
        <is>
          <t>10.22.104.21</t>
        </is>
      </c>
      <c r="C46" s="22" t="n">
        <v>869250703</v>
      </c>
      <c r="D46" s="26" t="n">
        <v>46009</v>
      </c>
      <c r="E46" s="28" t="inlineStr">
        <is>
          <t>continua</t>
        </is>
      </c>
      <c r="F46" s="22" t="inlineStr">
        <is>
          <t>sem data fixa</t>
        </is>
      </c>
      <c r="G46" s="22" t="inlineStr">
        <is>
          <t>proximo mês</t>
        </is>
      </c>
      <c r="H46" t="n">
        <v>45</v>
      </c>
    </row>
    <row r="47" ht="15" customHeight="1" s="17">
      <c r="A47" s="22" t="inlineStr">
        <is>
          <t>44:d9:e7:2a:25:d9</t>
        </is>
      </c>
      <c r="B47" s="22" t="inlineStr">
        <is>
          <t>10.22.104.55</t>
        </is>
      </c>
      <c r="C47" s="22" t="n">
        <v>845905851</v>
      </c>
      <c r="D47" s="26" t="n">
        <v>45920</v>
      </c>
      <c r="E47" s="28" t="inlineStr">
        <is>
          <t>continua</t>
        </is>
      </c>
      <c r="F47" s="26" t="n">
        <v>46068</v>
      </c>
      <c r="G47" s="22" t="inlineStr">
        <is>
          <t>Pagamento</t>
        </is>
      </c>
      <c r="H47" t="n">
        <v>46</v>
      </c>
    </row>
    <row r="48" ht="15" customHeight="1" s="17">
      <c r="A48" s="22" t="inlineStr">
        <is>
          <t>24:a4:3c:ec:58:10</t>
        </is>
      </c>
      <c r="B48" s="22" t="inlineStr">
        <is>
          <t>10.22.105.49</t>
        </is>
      </c>
      <c r="C48" s="22" t="n">
        <v>841812083</v>
      </c>
      <c r="E48" s="28" t="inlineStr">
        <is>
          <t>continua</t>
        </is>
      </c>
      <c r="F48" s="26" t="n">
        <v>46147</v>
      </c>
      <c r="G48" s="22" t="inlineStr">
        <is>
          <t>Pago</t>
        </is>
      </c>
      <c r="H48" t="n">
        <v>47</v>
      </c>
    </row>
    <row r="49" ht="15" customHeight="1" s="17">
      <c r="A49" s="22" t="inlineStr">
        <is>
          <t>9c:05:d6:8c:55:23</t>
        </is>
      </c>
      <c r="B49" s="22" t="inlineStr">
        <is>
          <t>10.22.106.16</t>
        </is>
      </c>
      <c r="C49" s="22" t="n">
        <v>879777975</v>
      </c>
      <c r="D49" s="26" t="n">
        <v>45839</v>
      </c>
      <c r="E49" s="30" t="inlineStr">
        <is>
          <t>cancelou</t>
        </is>
      </c>
      <c r="G49" s="22" t="inlineStr">
        <is>
          <t>a aguardar por novas informações</t>
        </is>
      </c>
      <c r="H49" t="n">
        <v>48</v>
      </c>
    </row>
    <row r="50" ht="15" customHeight="1" s="17">
      <c r="A50" s="22" t="inlineStr">
        <is>
          <t>04:18:d6:cc:9e:66</t>
        </is>
      </c>
      <c r="B50" s="22" t="inlineStr">
        <is>
          <t>10.22.106.2</t>
        </is>
      </c>
      <c r="C50" s="22" t="n">
        <v>824854650</v>
      </c>
      <c r="D50" s="26" t="n">
        <v>45989</v>
      </c>
      <c r="E50" s="25" t="inlineStr">
        <is>
          <t>sem resposta</t>
        </is>
      </c>
      <c r="H50" t="n">
        <v>49</v>
      </c>
    </row>
    <row r="51" ht="15" customHeight="1" s="17">
      <c r="A51" s="22" t="inlineStr">
        <is>
          <t>e0:63:da:f2:77:25</t>
        </is>
      </c>
      <c r="B51" s="22" t="inlineStr">
        <is>
          <t>10.22.106.23</t>
        </is>
      </c>
      <c r="C51" s="22" t="n">
        <v>822467020</v>
      </c>
      <c r="D51" s="26" t="n">
        <v>45926</v>
      </c>
      <c r="E51" s="28" t="inlineStr">
        <is>
          <t>continua</t>
        </is>
      </c>
      <c r="G51" s="22" t="inlineStr">
        <is>
          <t>a aguardar por novas informações</t>
        </is>
      </c>
      <c r="H51" t="n">
        <v>50</v>
      </c>
    </row>
    <row r="52" ht="15" customHeight="1" s="17">
      <c r="A52" s="22" t="inlineStr">
        <is>
          <t>f4:e2:c6:92:95:d5</t>
        </is>
      </c>
      <c r="B52" s="22" t="inlineStr">
        <is>
          <t>10.22.106.28</t>
        </is>
      </c>
      <c r="C52" s="22" t="n">
        <v>878239669</v>
      </c>
      <c r="D52" s="26" t="n">
        <v>45907</v>
      </c>
      <c r="E52" s="25" t="inlineStr">
        <is>
          <t>sem resposta</t>
        </is>
      </c>
      <c r="H52" t="n">
        <v>51</v>
      </c>
    </row>
    <row r="53" ht="15" customHeight="1" s="17">
      <c r="A53" s="22" t="inlineStr">
        <is>
          <t>60:22:32:d8:63:b0</t>
        </is>
      </c>
      <c r="B53" s="22" t="inlineStr">
        <is>
          <t>10.22.106.48</t>
        </is>
      </c>
      <c r="C53" s="22" t="n">
        <v>847150094</v>
      </c>
      <c r="D53" s="26" t="n">
        <v>46017</v>
      </c>
      <c r="E53" s="25" t="inlineStr">
        <is>
          <t>sem resposta</t>
        </is>
      </c>
      <c r="H53" t="n">
        <v>52</v>
      </c>
    </row>
    <row r="54" ht="15" customHeight="1" s="17">
      <c r="A54" s="22" t="inlineStr">
        <is>
          <t>04:18:d6:54:d1:02</t>
        </is>
      </c>
      <c r="B54" s="22" t="inlineStr">
        <is>
          <t>10.22.106.49</t>
        </is>
      </c>
      <c r="C54" s="22" t="n">
        <v>847150094</v>
      </c>
      <c r="D54" s="26" t="n">
        <v>46017</v>
      </c>
      <c r="E54" s="36" t="inlineStr">
        <is>
          <t>em espera</t>
        </is>
      </c>
      <c r="H54" t="n">
        <v>53</v>
      </c>
    </row>
    <row r="55" ht="15" customHeight="1" s="17">
      <c r="A55" s="22" t="inlineStr">
        <is>
          <t>28:70:4e:a0:77:b5</t>
        </is>
      </c>
      <c r="B55" s="22" t="inlineStr">
        <is>
          <t>10.22.106.74</t>
        </is>
      </c>
      <c r="C55" s="22" t="n">
        <v>843244150</v>
      </c>
      <c r="D55" s="26" t="n">
        <v>45752</v>
      </c>
      <c r="E55" s="25" t="inlineStr">
        <is>
          <t>sem resposta</t>
        </is>
      </c>
      <c r="H55" t="n">
        <v>54</v>
      </c>
    </row>
    <row r="56" ht="15" customHeight="1" s="17">
      <c r="A56" s="22" t="inlineStr">
        <is>
          <t>9c:05:d6:8c:5e:7f</t>
        </is>
      </c>
      <c r="B56" s="22" t="inlineStr">
        <is>
          <t>10.22.106.8</t>
        </is>
      </c>
      <c r="C56" s="22" t="n">
        <v>866195916</v>
      </c>
      <c r="D56" s="26" t="n">
        <v>45914</v>
      </c>
      <c r="E56" s="25" t="inlineStr">
        <is>
          <t>sem resposta</t>
        </is>
      </c>
      <c r="H56" t="n">
        <v>55</v>
      </c>
    </row>
    <row r="57" ht="15" customHeight="1" s="17">
      <c r="A57" s="22" t="inlineStr">
        <is>
          <t>18:e8:29:d0:89:0c</t>
        </is>
      </c>
      <c r="B57" s="22" t="inlineStr">
        <is>
          <t>10.22.107.1</t>
        </is>
      </c>
      <c r="C57" s="22" t="n">
        <v>861852222</v>
      </c>
      <c r="D57" s="26" t="n">
        <v>45870</v>
      </c>
      <c r="E57" s="25" t="inlineStr">
        <is>
          <t>sem resposta</t>
        </is>
      </c>
      <c r="H57" t="n">
        <v>56</v>
      </c>
    </row>
    <row r="58" ht="15" customHeight="1" s="17">
      <c r="A58" s="22" t="inlineStr">
        <is>
          <t>e0:63:da:9e:64:90</t>
        </is>
      </c>
      <c r="B58" s="22" t="inlineStr">
        <is>
          <t>10.22.107.13</t>
        </is>
      </c>
      <c r="C58" s="22" t="n">
        <v>823887252</v>
      </c>
      <c r="D58" s="26" t="n">
        <v>45799</v>
      </c>
      <c r="E58" s="25" t="inlineStr">
        <is>
          <t>sem resposta</t>
        </is>
      </c>
      <c r="H58" t="n">
        <v>57</v>
      </c>
    </row>
    <row r="59" ht="15" customHeight="1" s="17">
      <c r="A59" s="22" t="inlineStr">
        <is>
          <t>28:70:4e:a0:76:3c</t>
        </is>
      </c>
      <c r="B59" s="22" t="inlineStr">
        <is>
          <t>10.22.107.23</t>
        </is>
      </c>
      <c r="C59" s="22" t="n">
        <v>849224827</v>
      </c>
      <c r="D59" s="26" t="n">
        <v>45752</v>
      </c>
      <c r="E59" s="25" t="inlineStr">
        <is>
          <t>sem resposta</t>
        </is>
      </c>
      <c r="H59" t="n">
        <v>58</v>
      </c>
    </row>
    <row r="60" ht="15" customHeight="1" s="17">
      <c r="A60" s="22" t="inlineStr">
        <is>
          <t>f4:92:bf:f0:81:2a</t>
        </is>
      </c>
      <c r="B60" s="22" t="inlineStr">
        <is>
          <t>10.22.107.6</t>
        </is>
      </c>
      <c r="C60" s="22" t="n">
        <v>833075513</v>
      </c>
      <c r="D60" s="26" t="n">
        <v>45508</v>
      </c>
      <c r="E60" s="25" t="inlineStr">
        <is>
          <t>sem resposta</t>
        </is>
      </c>
      <c r="H60" t="n">
        <v>59</v>
      </c>
    </row>
    <row r="61" ht="15" customHeight="1" s="17">
      <c r="A61" s="22" t="inlineStr">
        <is>
          <t>f4:e2:c6:88:22:1f</t>
        </is>
      </c>
      <c r="B61" s="22" t="inlineStr">
        <is>
          <t>10.22.108.18</t>
        </is>
      </c>
      <c r="C61" s="22" t="inlineStr">
        <is>
          <t>sem contacto valido</t>
        </is>
      </c>
      <c r="D61" s="26" t="n">
        <v>45955</v>
      </c>
      <c r="G61" s="22" t="inlineStr">
        <is>
          <t>IP e Mac invalidos</t>
        </is>
      </c>
      <c r="H61" t="n">
        <v>60</v>
      </c>
    </row>
    <row r="62" ht="15" customHeight="1" s="17">
      <c r="A62" s="22" t="inlineStr">
        <is>
          <t>74:83:c2:5c:3c:6f</t>
        </is>
      </c>
      <c r="B62" s="22" t="inlineStr">
        <is>
          <t>10.22.108.32</t>
        </is>
      </c>
      <c r="C62" s="22" t="n">
        <v>865626670</v>
      </c>
      <c r="D62" s="26" t="n">
        <v>45933</v>
      </c>
      <c r="E62" s="28" t="inlineStr">
        <is>
          <t>continua</t>
        </is>
      </c>
      <c r="F62" s="26" t="n">
        <v>46065</v>
      </c>
      <c r="G62" s="22" t="inlineStr">
        <is>
          <t>IP e Mac invalidos</t>
        </is>
      </c>
      <c r="H62" t="n">
        <v>61</v>
      </c>
    </row>
    <row r="63" ht="15" customHeight="1" s="17">
      <c r="A63" s="22" t="inlineStr">
        <is>
          <t>78:8a:20:4e:dc:92</t>
        </is>
      </c>
      <c r="B63" s="22" t="inlineStr">
        <is>
          <t>10.22.108.36</t>
        </is>
      </c>
      <c r="C63" s="22" t="n">
        <v>843840087</v>
      </c>
      <c r="D63" s="26" t="n">
        <v>45900</v>
      </c>
      <c r="E63" s="22" t="inlineStr">
        <is>
          <t>sem resposta</t>
        </is>
      </c>
      <c r="H63" t="n">
        <v>62</v>
      </c>
    </row>
    <row r="64" ht="15" customHeight="1" s="17">
      <c r="A64" s="22" t="inlineStr">
        <is>
          <t>18:e8:29:de:e2:7f</t>
        </is>
      </c>
      <c r="B64" s="22" t="inlineStr">
        <is>
          <t>10.22.114.2</t>
        </is>
      </c>
      <c r="C64" s="22" t="n">
        <v>848951149</v>
      </c>
      <c r="E64" s="30" t="inlineStr">
        <is>
          <t>cancelou</t>
        </is>
      </c>
      <c r="F64" s="22" t="inlineStr">
        <is>
          <t>06/02/2026  08h30--09h30</t>
        </is>
      </c>
      <c r="G64" s="22" t="inlineStr">
        <is>
          <t>recolhe de equipamento</t>
        </is>
      </c>
      <c r="H64" t="n">
        <v>63</v>
      </c>
    </row>
    <row r="65" ht="15" customHeight="1" s="17">
      <c r="A65" s="22" t="inlineStr">
        <is>
          <t>9c:05:d6:92:23:c7</t>
        </is>
      </c>
      <c r="B65" s="22" t="inlineStr">
        <is>
          <t>10.22.115.12</t>
        </is>
      </c>
      <c r="C65" s="22" t="n">
        <v>847933893</v>
      </c>
      <c r="D65" s="26" t="n">
        <v>45995</v>
      </c>
      <c r="E65" s="28" t="inlineStr">
        <is>
          <t>continua</t>
        </is>
      </c>
      <c r="F65" s="22" t="inlineStr">
        <is>
          <t>06/02/20262</t>
        </is>
      </c>
      <c r="G65" s="22" t="inlineStr">
        <is>
          <t>pagamento</t>
        </is>
      </c>
      <c r="H65" t="n">
        <v>64</v>
      </c>
    </row>
    <row r="66" ht="15" customHeight="1" s="17">
      <c r="A66" s="22" t="inlineStr">
        <is>
          <t>04:18:d6:54:d2:ac</t>
        </is>
      </c>
      <c r="B66" s="22" t="inlineStr">
        <is>
          <t>10.22.115.18</t>
        </is>
      </c>
      <c r="C66" s="22" t="n">
        <v>844631087</v>
      </c>
      <c r="D66" s="26" t="n">
        <v>45934</v>
      </c>
      <c r="E66" s="22" t="inlineStr">
        <is>
          <t>continua</t>
        </is>
      </c>
      <c r="F66" s="22" t="inlineStr">
        <is>
          <t>proxima semana</t>
        </is>
      </c>
      <c r="G66" s="22" t="inlineStr">
        <is>
          <t>Pagamento</t>
        </is>
      </c>
      <c r="H66" t="n">
        <v>65</v>
      </c>
    </row>
    <row r="67" ht="15" customHeight="1" s="17">
      <c r="A67" s="22" t="inlineStr">
        <is>
          <t>fc:ec:da:58:e1:2c</t>
        </is>
      </c>
      <c r="B67" s="22" t="inlineStr">
        <is>
          <t>10.22.115.3</t>
        </is>
      </c>
      <c r="C67" s="22" t="n">
        <v>841335505</v>
      </c>
      <c r="D67" s="26" t="n">
        <v>46298</v>
      </c>
      <c r="E67" s="22" t="inlineStr">
        <is>
          <t>sem resposta</t>
        </is>
      </c>
      <c r="H67" t="n">
        <v>66</v>
      </c>
    </row>
    <row r="68" ht="15" customHeight="1" s="17">
      <c r="A68" s="22" t="inlineStr">
        <is>
          <t>f4:92:bf:f8:7c:62</t>
        </is>
      </c>
      <c r="B68" s="22" t="inlineStr">
        <is>
          <t>10.22.120.12</t>
        </is>
      </c>
      <c r="C68" s="22" t="n">
        <v>848433661</v>
      </c>
      <c r="E68" s="22" t="inlineStr">
        <is>
          <t>cancelou</t>
        </is>
      </c>
      <c r="F68" s="22" t="inlineStr">
        <is>
          <t>06/02/2026  10h00</t>
        </is>
      </c>
      <c r="G68" s="22" t="inlineStr">
        <is>
          <t>Remoção do Equipamennto</t>
        </is>
      </c>
      <c r="H68" t="n">
        <v>67</v>
      </c>
    </row>
    <row r="69" ht="15" customHeight="1" s="17">
      <c r="A69" s="22" t="inlineStr">
        <is>
          <t>78:8a:20:e6:18:de</t>
        </is>
      </c>
      <c r="B69" s="22" t="inlineStr">
        <is>
          <t>10.22.120.15</t>
        </is>
      </c>
      <c r="C69" s="22" t="n">
        <v>820721629</v>
      </c>
      <c r="D69" s="26" t="n">
        <v>45972</v>
      </c>
      <c r="E69" s="22" t="inlineStr">
        <is>
          <t>sem resposta</t>
        </is>
      </c>
      <c r="H69" t="n">
        <v>68</v>
      </c>
    </row>
    <row r="70" ht="15" customHeight="1" s="17">
      <c r="A70" s="22" t="inlineStr">
        <is>
          <t>68:d7:9a:aa:c1:d3</t>
        </is>
      </c>
      <c r="B70" s="22" t="inlineStr">
        <is>
          <t>10.22.120.4</t>
        </is>
      </c>
      <c r="C70" s="22" t="inlineStr">
        <is>
          <t>sem contacto valido</t>
        </is>
      </c>
      <c r="D70" s="26" t="n">
        <v>45995</v>
      </c>
      <c r="E70" s="22" t="inlineStr">
        <is>
          <t>sem resposta</t>
        </is>
      </c>
      <c r="G70" s="22" t="inlineStr">
        <is>
          <t>IP e MAC invalidos</t>
        </is>
      </c>
      <c r="H70" t="n">
        <v>69</v>
      </c>
    </row>
    <row r="71" ht="15" customHeight="1" s="17">
      <c r="A71" s="22" t="inlineStr">
        <is>
          <t>68:d7:9a:aa:bc:7a</t>
        </is>
      </c>
      <c r="B71" s="22" t="inlineStr">
        <is>
          <t>10.22.120.5</t>
        </is>
      </c>
      <c r="H71" t="n">
        <v>70</v>
      </c>
    </row>
    <row r="72" ht="15" customHeight="1" s="17">
      <c r="A72" s="22" t="inlineStr">
        <is>
          <t>e0:63:da:dc:72:38</t>
        </is>
      </c>
      <c r="B72" s="22" t="inlineStr">
        <is>
          <t>10.22.121.21</t>
        </is>
      </c>
      <c r="H72" t="n">
        <v>71</v>
      </c>
    </row>
    <row r="73" ht="15" customHeight="1" s="17">
      <c r="A73" s="22" t="inlineStr">
        <is>
          <t>24:5a:4c:b2:bc:6f</t>
        </is>
      </c>
      <c r="B73" s="22" t="inlineStr">
        <is>
          <t>10.22.122.139</t>
        </is>
      </c>
      <c r="H73" t="n">
        <v>72</v>
      </c>
    </row>
    <row r="74" ht="15" customHeight="1" s="17">
      <c r="A74" s="22" t="inlineStr">
        <is>
          <t>18:e8:29:d0:c8:49</t>
        </is>
      </c>
      <c r="B74" s="22" t="inlineStr">
        <is>
          <t>10.22.122.20</t>
        </is>
      </c>
      <c r="H74" t="n">
        <v>73</v>
      </c>
    </row>
    <row r="75" ht="15" customHeight="1" s="17">
      <c r="A75" s="22" t="inlineStr">
        <is>
          <t>fc:ec:da:2a:de:be</t>
        </is>
      </c>
      <c r="B75" s="22" t="inlineStr">
        <is>
          <t>10.22.122.23</t>
        </is>
      </c>
      <c r="H75" t="n">
        <v>74</v>
      </c>
    </row>
    <row r="76" ht="15" customHeight="1" s="17">
      <c r="A76" s="22" t="inlineStr">
        <is>
          <t>60:22:32:d8:74:42</t>
        </is>
      </c>
      <c r="B76" s="22" t="inlineStr">
        <is>
          <t>10.22.122.39</t>
        </is>
      </c>
      <c r="H76" t="n">
        <v>75</v>
      </c>
    </row>
    <row r="77" ht="15" customHeight="1" s="17">
      <c r="A77" s="22" t="inlineStr">
        <is>
          <t>e0:63:da:f2:4e:98</t>
        </is>
      </c>
      <c r="B77" s="22" t="inlineStr">
        <is>
          <t>10.22.122.94</t>
        </is>
      </c>
      <c r="H77" t="n">
        <v>76</v>
      </c>
    </row>
    <row r="78" ht="15" customHeight="1" s="17">
      <c r="A78" s="22" t="inlineStr">
        <is>
          <t>60:22:32:d8:5e:4a</t>
        </is>
      </c>
      <c r="B78" s="22" t="inlineStr">
        <is>
          <t>10.22.123.19</t>
        </is>
      </c>
      <c r="H78" t="n">
        <v>77</v>
      </c>
    </row>
    <row r="79" ht="15" customHeight="1" s="17">
      <c r="A79" s="22" t="inlineStr">
        <is>
          <t>70:a7:41:18:83:4c</t>
        </is>
      </c>
      <c r="B79" s="22" t="inlineStr">
        <is>
          <t>10.22.123.31</t>
        </is>
      </c>
      <c r="H79" t="n">
        <v>78</v>
      </c>
    </row>
    <row r="80" ht="15" customHeight="1" s="17">
      <c r="A80" s="22" t="inlineStr">
        <is>
          <t>68:d7:9a:aa:c0:73</t>
        </is>
      </c>
      <c r="B80" s="22" t="inlineStr">
        <is>
          <t>10.22.123.44</t>
        </is>
      </c>
      <c r="H80" t="n">
        <v>79</v>
      </c>
    </row>
    <row r="81" ht="15" customHeight="1" s="17">
      <c r="A81" s="22" t="inlineStr">
        <is>
          <t>e0:63:da:f2:4f:81</t>
        </is>
      </c>
      <c r="B81" s="22" t="inlineStr">
        <is>
          <t>10.22.126.2</t>
        </is>
      </c>
      <c r="H81" t="n">
        <v>80</v>
      </c>
    </row>
    <row r="82" ht="15" customHeight="1" s="17">
      <c r="A82" s="22" t="inlineStr">
        <is>
          <t>74:83:c2:a0:e9:92</t>
        </is>
      </c>
      <c r="B82" s="22" t="inlineStr">
        <is>
          <t>10.22.126.24</t>
        </is>
      </c>
      <c r="H82" t="n">
        <v>81</v>
      </c>
    </row>
    <row r="83" ht="15" customHeight="1" s="17">
      <c r="A83" s="22" t="inlineStr">
        <is>
          <t>18:e8:29:d0:e2:5c</t>
        </is>
      </c>
      <c r="B83" s="22" t="inlineStr">
        <is>
          <t>10.22.126.26</t>
        </is>
      </c>
      <c r="H83" t="n">
        <v>82</v>
      </c>
    </row>
    <row r="84" ht="15" customHeight="1" s="17">
      <c r="A84" s="22" t="inlineStr">
        <is>
          <t>74:83:c2:5c:32:5d</t>
        </is>
      </c>
      <c r="B84" s="22" t="inlineStr">
        <is>
          <t>10.22.126.6</t>
        </is>
      </c>
      <c r="H84" t="n">
        <v>83</v>
      </c>
    </row>
    <row r="85" ht="15" customHeight="1" s="17">
      <c r="A85" s="22" t="inlineStr">
        <is>
          <t>f4:e2:c6:92:36:47</t>
        </is>
      </c>
      <c r="B85" s="22" t="inlineStr">
        <is>
          <t>10.22.126.82</t>
        </is>
      </c>
      <c r="H85" t="n">
        <v>84</v>
      </c>
    </row>
    <row r="86" ht="15" customHeight="1" s="17">
      <c r="A86" s="22" t="inlineStr">
        <is>
          <t>f4:92:bf:f8:63:ba</t>
        </is>
      </c>
      <c r="B86" s="22" t="inlineStr">
        <is>
          <t>10.22.126.84</t>
        </is>
      </c>
      <c r="H86" t="n">
        <v>85</v>
      </c>
    </row>
    <row r="87" ht="15" customHeight="1" s="17">
      <c r="A87" s="22" t="inlineStr">
        <is>
          <t>18:e8:29:d8:c9:ad</t>
        </is>
      </c>
      <c r="B87" s="22" t="inlineStr">
        <is>
          <t>10.22.126.9</t>
        </is>
      </c>
      <c r="H87" t="n">
        <v>86</v>
      </c>
    </row>
    <row r="88" ht="15" customHeight="1" s="17">
      <c r="A88" s="22" t="inlineStr">
        <is>
          <t>b4:fb:e4:ba:7f:8d</t>
        </is>
      </c>
      <c r="B88" s="22" t="inlineStr">
        <is>
          <t>10.22.127.1</t>
        </is>
      </c>
      <c r="H88" t="n">
        <v>87</v>
      </c>
    </row>
    <row r="89" ht="15" customHeight="1" s="17">
      <c r="A89" s="22" t="inlineStr">
        <is>
          <t>f0:9f:c2:58:4b:f5</t>
        </is>
      </c>
      <c r="B89" s="22" t="inlineStr">
        <is>
          <t>10.22.127.127</t>
        </is>
      </c>
      <c r="H89" t="n">
        <v>88</v>
      </c>
    </row>
    <row r="90" ht="15" customHeight="1" s="17">
      <c r="A90" s="22" t="inlineStr">
        <is>
          <t>04:18:d6:54:d2:cf</t>
        </is>
      </c>
      <c r="B90" s="22" t="inlineStr">
        <is>
          <t>10.22.127.146</t>
        </is>
      </c>
      <c r="H90" t="n">
        <v>89</v>
      </c>
    </row>
    <row r="91" ht="15" customHeight="1" s="17">
      <c r="A91" s="22" t="inlineStr">
        <is>
          <t>68:d7:9a:aa:c5:a2</t>
        </is>
      </c>
      <c r="B91" s="22" t="inlineStr">
        <is>
          <t>10.22.127.24</t>
        </is>
      </c>
      <c r="H91" t="n">
        <v>90</v>
      </c>
    </row>
    <row r="92" ht="15" customHeight="1" s="17">
      <c r="A92" s="22" t="inlineStr">
        <is>
          <t>18:e8:29:de:d3:56</t>
        </is>
      </c>
      <c r="B92" s="22" t="inlineStr">
        <is>
          <t>10.22.127.51</t>
        </is>
      </c>
      <c r="H92" t="n">
        <v>91</v>
      </c>
    </row>
    <row r="93" ht="15" customHeight="1" s="17">
      <c r="A93" s="22" t="inlineStr">
        <is>
          <t>28:70:4e:a2:4d:1a</t>
        </is>
      </c>
      <c r="B93" s="22" t="inlineStr">
        <is>
          <t>10.22.127.7</t>
        </is>
      </c>
      <c r="H93" t="n">
        <v>92</v>
      </c>
    </row>
    <row r="94" ht="15" customHeight="1" s="17">
      <c r="A94" s="22" t="inlineStr">
        <is>
          <t>e0:63:da:48:6c:12</t>
        </is>
      </c>
      <c r="B94" s="22" t="inlineStr">
        <is>
          <t>10.22.127.73</t>
        </is>
      </c>
      <c r="H94" t="n">
        <v>93</v>
      </c>
    </row>
    <row r="95" ht="15" customHeight="1" s="17">
      <c r="A95" s="22" t="inlineStr">
        <is>
          <t>f0:9f:c2:8c:17:07</t>
        </is>
      </c>
      <c r="B95" s="22" t="inlineStr">
        <is>
          <t>10.22.127.89</t>
        </is>
      </c>
      <c r="H95" t="n">
        <v>94</v>
      </c>
    </row>
    <row r="96" ht="15" customHeight="1" s="17">
      <c r="A96" s="22" t="inlineStr">
        <is>
          <t>fc:ec:da:26:61:a6</t>
        </is>
      </c>
      <c r="B96" s="22" t="inlineStr">
        <is>
          <t>10.22.128.2</t>
        </is>
      </c>
      <c r="H96" t="n">
        <v>95</v>
      </c>
    </row>
    <row r="97" ht="15" customHeight="1" s="17">
      <c r="A97" s="22" t="inlineStr">
        <is>
          <t>60:22:32:ce:92:76</t>
        </is>
      </c>
      <c r="B97" s="22" t="inlineStr">
        <is>
          <t>10.22.128.23</t>
        </is>
      </c>
      <c r="H97" t="n">
        <v>96</v>
      </c>
    </row>
    <row r="98" ht="15" customHeight="1" s="17">
      <c r="A98" s="22" t="inlineStr">
        <is>
          <t>b4:fb:e4:a8:dd:af</t>
        </is>
      </c>
      <c r="B98" s="22" t="inlineStr">
        <is>
          <t>10.22.128.4</t>
        </is>
      </c>
      <c r="H98" t="n">
        <v>97</v>
      </c>
    </row>
    <row r="99" ht="15" customHeight="1" s="17">
      <c r="A99" s="22" t="inlineStr">
        <is>
          <t>24:5a:4c:d8:a8:80</t>
        </is>
      </c>
      <c r="B99" s="22" t="inlineStr">
        <is>
          <t>10.22.136.17</t>
        </is>
      </c>
      <c r="H99" t="n">
        <v>98</v>
      </c>
    </row>
    <row r="100" ht="15" customHeight="1" s="17">
      <c r="A100" s="22" t="inlineStr">
        <is>
          <t>9c:05:d6:8c:60:09</t>
        </is>
      </c>
      <c r="B100" s="22" t="inlineStr">
        <is>
          <t>10.22.136.58</t>
        </is>
      </c>
      <c r="H100" t="n">
        <v>99</v>
      </c>
    </row>
    <row r="101" ht="15" customHeight="1" s="17">
      <c r="A101" s="22" t="inlineStr">
        <is>
          <t>f4:92:bf:f8:6b:23</t>
        </is>
      </c>
      <c r="B101" s="22" t="inlineStr">
        <is>
          <t>10.22.139.10</t>
        </is>
      </c>
      <c r="H101" t="n">
        <v>100</v>
      </c>
    </row>
    <row r="102" ht="15" customHeight="1" s="17">
      <c r="A102" s="22" t="inlineStr">
        <is>
          <t>74:83:c2:50:9e:7e</t>
        </is>
      </c>
      <c r="B102" s="22" t="inlineStr">
        <is>
          <t>10.22.139.112</t>
        </is>
      </c>
      <c r="H102" t="n">
        <v>101</v>
      </c>
    </row>
    <row r="103" ht="15" customHeight="1" s="17">
      <c r="A103" s="22" t="inlineStr">
        <is>
          <t>b4:fb:e4:a8:de:73</t>
        </is>
      </c>
      <c r="B103" s="22" t="inlineStr">
        <is>
          <t>10.22.139.113</t>
        </is>
      </c>
      <c r="H103" t="n">
        <v>102</v>
      </c>
    </row>
    <row r="104" ht="15" customHeight="1" s="17">
      <c r="A104" s="22" t="inlineStr">
        <is>
          <t>f0:9f:c2:8c:16:11</t>
        </is>
      </c>
      <c r="B104" s="22" t="inlineStr">
        <is>
          <t>10.22.139.117</t>
        </is>
      </c>
      <c r="H104" t="n">
        <v>103</v>
      </c>
    </row>
    <row r="105" ht="15" customHeight="1" s="17">
      <c r="A105" s="22" t="inlineStr">
        <is>
          <t>74:83:c2:5a:2e:0d</t>
        </is>
      </c>
      <c r="B105" s="22" t="inlineStr">
        <is>
          <t>10.22.139.137</t>
        </is>
      </c>
      <c r="H105" t="n">
        <v>104</v>
      </c>
    </row>
    <row r="106" ht="15" customHeight="1" s="17">
      <c r="A106" s="22" t="inlineStr">
        <is>
          <t>f4:e2:c6:8e:98:e6</t>
        </is>
      </c>
      <c r="B106" s="22" t="inlineStr">
        <is>
          <t>10.22.139.157</t>
        </is>
      </c>
      <c r="H106" t="n">
        <v>105</v>
      </c>
    </row>
    <row r="107" ht="15" customHeight="1" s="17">
      <c r="A107" s="22" t="inlineStr">
        <is>
          <t>f4:92:bf:f8:6d:62</t>
        </is>
      </c>
      <c r="B107" s="22" t="inlineStr">
        <is>
          <t>10.22.139.160</t>
        </is>
      </c>
      <c r="H107" t="n">
        <v>106</v>
      </c>
    </row>
    <row r="108" ht="15" customHeight="1" s="17">
      <c r="A108" s="22" t="inlineStr">
        <is>
          <t>18:e8:29:8e:35:07</t>
        </is>
      </c>
      <c r="B108" s="22" t="inlineStr">
        <is>
          <t>10.22.139.195</t>
        </is>
      </c>
      <c r="H108" t="n">
        <v>107</v>
      </c>
    </row>
    <row r="109" ht="15" customHeight="1" s="17">
      <c r="A109" s="22" t="inlineStr">
        <is>
          <t>18:e8:29:8e:6a:62</t>
        </is>
      </c>
      <c r="B109" s="22" t="inlineStr">
        <is>
          <t>10.22.139.25</t>
        </is>
      </c>
      <c r="H109" t="n">
        <v>108</v>
      </c>
    </row>
    <row r="110" ht="15" customHeight="1" s="17">
      <c r="A110" s="22" t="inlineStr">
        <is>
          <t>9c:05:d6:8c:54:d1</t>
        </is>
      </c>
      <c r="B110" s="22" t="inlineStr">
        <is>
          <t>10.22.139.35</t>
        </is>
      </c>
      <c r="H110" t="n">
        <v>109</v>
      </c>
    </row>
    <row r="111" ht="15" customHeight="1" s="17">
      <c r="A111" s="22" t="inlineStr">
        <is>
          <t>24:a4:3c:ec:5b:5f</t>
        </is>
      </c>
      <c r="B111" s="22" t="inlineStr">
        <is>
          <t>10.22.139.43</t>
        </is>
      </c>
      <c r="H111" t="n">
        <v>110</v>
      </c>
    </row>
    <row r="112" ht="15" customHeight="1" s="17">
      <c r="A112" s="22" t="inlineStr">
        <is>
          <t>74:83:c2:50:15:b9</t>
        </is>
      </c>
      <c r="B112" s="22" t="inlineStr">
        <is>
          <t>10.22.139.54</t>
        </is>
      </c>
      <c r="H112" t="n">
        <v>111</v>
      </c>
    </row>
    <row r="113" ht="15" customHeight="1" s="17">
      <c r="A113" s="22" t="inlineStr">
        <is>
          <t>9c:05:d6:84:5c:0e</t>
        </is>
      </c>
      <c r="B113" s="22" t="inlineStr">
        <is>
          <t>10.22.139.56</t>
        </is>
      </c>
      <c r="H113" t="n">
        <v>112</v>
      </c>
    </row>
    <row r="114" ht="15" customHeight="1" s="17">
      <c r="A114" s="22" t="inlineStr">
        <is>
          <t>68:d7:9a:9e:cb:97</t>
        </is>
      </c>
      <c r="B114" s="22" t="inlineStr">
        <is>
          <t>10.22.139.64</t>
        </is>
      </c>
      <c r="H114" t="n">
        <v>113</v>
      </c>
    </row>
    <row r="115" ht="15" customHeight="1" s="17">
      <c r="A115" s="22" t="inlineStr">
        <is>
          <t>e0:63:da:d0:56:75</t>
        </is>
      </c>
      <c r="B115" s="22" t="inlineStr">
        <is>
          <t>10.22.139.72</t>
        </is>
      </c>
      <c r="H115" t="n">
        <v>114</v>
      </c>
    </row>
    <row r="116" ht="15" customHeight="1" s="17">
      <c r="A116" s="22" t="inlineStr">
        <is>
          <t>9c:05:d6:8c:4d:3c</t>
        </is>
      </c>
      <c r="B116" s="22" t="inlineStr">
        <is>
          <t>10.22.139.77</t>
        </is>
      </c>
      <c r="H116" t="n">
        <v>115</v>
      </c>
    </row>
    <row r="117" ht="15" customHeight="1" s="17">
      <c r="A117" s="22" t="inlineStr">
        <is>
          <t>74:83:c2:a0:e5:e2</t>
        </is>
      </c>
      <c r="B117" s="22" t="inlineStr">
        <is>
          <t>10.22.139.93</t>
        </is>
      </c>
      <c r="H117" t="n">
        <v>116</v>
      </c>
    </row>
    <row r="118" ht="15" customHeight="1" s="17">
      <c r="A118" s="22" t="inlineStr">
        <is>
          <t>60:22:32:ce:89:73</t>
        </is>
      </c>
      <c r="B118" s="22" t="inlineStr">
        <is>
          <t>10.22.140.143</t>
        </is>
      </c>
      <c r="H118" t="n">
        <v>117</v>
      </c>
    </row>
    <row r="119" ht="15" customHeight="1" s="17">
      <c r="A119" s="22" t="inlineStr">
        <is>
          <t>04:18:d6:ae:63:bc</t>
        </is>
      </c>
      <c r="B119" s="22" t="inlineStr">
        <is>
          <t>10.22.140.16</t>
        </is>
      </c>
      <c r="H119" t="n">
        <v>118</v>
      </c>
    </row>
    <row r="120" ht="15" customHeight="1" s="17">
      <c r="A120" s="22" t="inlineStr">
        <is>
          <t>28:70:4e:a0:78:f8</t>
        </is>
      </c>
      <c r="B120" s="22" t="inlineStr">
        <is>
          <t>10.22.140.160</t>
        </is>
      </c>
      <c r="H120" t="n">
        <v>119</v>
      </c>
    </row>
    <row r="121" ht="15" customHeight="1" s="17">
      <c r="A121" s="22" t="inlineStr">
        <is>
          <t>04:18:d6:e8:9a:73</t>
        </is>
      </c>
      <c r="B121" s="22" t="inlineStr">
        <is>
          <t>10.22.140.21</t>
        </is>
      </c>
      <c r="H121" t="n">
        <v>120</v>
      </c>
    </row>
    <row r="122" ht="15" customHeight="1" s="17">
      <c r="A122" s="22" t="inlineStr">
        <is>
          <t>68:d7:9a:aa:c0:d9</t>
        </is>
      </c>
      <c r="B122" s="22" t="inlineStr">
        <is>
          <t>10.22.140.65</t>
        </is>
      </c>
      <c r="H122" t="n">
        <v>121</v>
      </c>
    </row>
    <row r="123" ht="15" customHeight="1" s="17">
      <c r="A123" s="22" t="inlineStr">
        <is>
          <t>fc:ec:da:2a:ee:14</t>
        </is>
      </c>
      <c r="B123" s="22" t="inlineStr">
        <is>
          <t>10.22.140.84</t>
        </is>
      </c>
      <c r="H123" t="n">
        <v>122</v>
      </c>
    </row>
    <row r="124" ht="15" customHeight="1" s="17">
      <c r="A124" s="22" t="inlineStr">
        <is>
          <t>f0:9f:c2:ea:85:4c</t>
        </is>
      </c>
      <c r="B124" s="22" t="inlineStr">
        <is>
          <t>10.22.140.86</t>
        </is>
      </c>
      <c r="H124" t="n">
        <v>123</v>
      </c>
    </row>
    <row r="125" ht="15" customHeight="1" s="17">
      <c r="A125" s="22" t="inlineStr">
        <is>
          <t>f4:92:bf:f8:7b:45</t>
        </is>
      </c>
      <c r="B125" s="22" t="inlineStr">
        <is>
          <t>10.22.140.98</t>
        </is>
      </c>
      <c r="H125" t="n">
        <v>124</v>
      </c>
    </row>
    <row r="126" ht="15" customHeight="1" s="17">
      <c r="A126" s="22" t="inlineStr">
        <is>
          <t>18:e8:29:d0:8b:2a</t>
        </is>
      </c>
      <c r="B126" s="22" t="inlineStr">
        <is>
          <t>10.22.141.10</t>
        </is>
      </c>
      <c r="H126" t="n">
        <v>125</v>
      </c>
    </row>
    <row r="127" ht="15" customHeight="1" s="17">
      <c r="A127" s="22" t="inlineStr">
        <is>
          <t>04:18:d6:58:6a:81</t>
        </is>
      </c>
      <c r="B127" s="22" t="inlineStr">
        <is>
          <t>10.22.141.5</t>
        </is>
      </c>
      <c r="H127" t="n">
        <v>126</v>
      </c>
    </row>
    <row r="128" ht="15" customHeight="1" s="17">
      <c r="A128" s="22" t="inlineStr">
        <is>
          <t>60:22:32:d8:6e:c6</t>
        </is>
      </c>
      <c r="B128" s="22" t="inlineStr">
        <is>
          <t>10.22.142.104</t>
        </is>
      </c>
      <c r="H128" t="n">
        <v>127</v>
      </c>
    </row>
    <row r="129" ht="15" customHeight="1" s="17">
      <c r="A129" s="22" t="inlineStr">
        <is>
          <t>e0:63:da:f0:a1:18</t>
        </is>
      </c>
      <c r="B129" s="22" t="inlineStr">
        <is>
          <t>10.22.142.115</t>
        </is>
      </c>
      <c r="H129" t="n">
        <v>128</v>
      </c>
    </row>
    <row r="130" ht="15" customHeight="1" s="17">
      <c r="A130" s="22" t="inlineStr">
        <is>
          <t>68:d7:9a:9e:ec:88</t>
        </is>
      </c>
      <c r="B130" s="22" t="inlineStr">
        <is>
          <t>10.22.142.12</t>
        </is>
      </c>
      <c r="H130" t="n">
        <v>129</v>
      </c>
    </row>
    <row r="131" ht="15" customHeight="1" s="17">
      <c r="A131" s="22" t="inlineStr">
        <is>
          <t>74:83:c2:a0:e1:c1</t>
        </is>
      </c>
      <c r="B131" s="22" t="inlineStr">
        <is>
          <t>10.22.142.123</t>
        </is>
      </c>
      <c r="H131" t="n">
        <v>130</v>
      </c>
    </row>
    <row r="132" ht="15" customHeight="1" s="17">
      <c r="A132" s="22" t="inlineStr">
        <is>
          <t>f4:e2:c6:92:4e:91</t>
        </is>
      </c>
      <c r="B132" s="22" t="inlineStr">
        <is>
          <t>10.22.142.132</t>
        </is>
      </c>
      <c r="H132" t="n">
        <v>131</v>
      </c>
    </row>
    <row r="133" ht="15" customHeight="1" s="17">
      <c r="A133" s="22" t="inlineStr">
        <is>
          <t>9c:05:d6:8c:59:54</t>
        </is>
      </c>
      <c r="B133" s="22" t="inlineStr">
        <is>
          <t>10.22.142.155</t>
        </is>
      </c>
      <c r="H133" t="n">
        <v>132</v>
      </c>
    </row>
    <row r="134" ht="15" customHeight="1" s="17">
      <c r="A134" s="22" t="inlineStr">
        <is>
          <t>60:22:32:ce:8a:17</t>
        </is>
      </c>
      <c r="B134" s="22" t="inlineStr">
        <is>
          <t>10.22.142.156</t>
        </is>
      </c>
      <c r="H134" t="n">
        <v>133</v>
      </c>
    </row>
    <row r="135" ht="15" customHeight="1" s="17">
      <c r="A135" s="22" t="inlineStr">
        <is>
          <t>28:70:4e:a0:76:14</t>
        </is>
      </c>
      <c r="B135" s="22" t="inlineStr">
        <is>
          <t>10.22.142.160</t>
        </is>
      </c>
      <c r="H135" t="n">
        <v>134</v>
      </c>
    </row>
    <row r="136" ht="15" customHeight="1" s="17">
      <c r="A136" s="37" t="inlineStr">
        <is>
          <t>f4:92:bf:f8:78:64</t>
        </is>
      </c>
      <c r="B136" s="37" t="inlineStr">
        <is>
          <t>10.22.142.164</t>
        </is>
      </c>
      <c r="C136" s="37" t="n"/>
      <c r="D136" s="37" t="n"/>
      <c r="E136" s="37" t="n"/>
      <c r="F136" s="37" t="n"/>
      <c r="G136" s="37" t="n"/>
      <c r="H136" s="37" t="n">
        <v>135</v>
      </c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</row>
    <row r="137" ht="15" customHeight="1" s="17">
      <c r="A137" s="37" t="inlineStr">
        <is>
          <t>24:a4:3c:b4:68:d9</t>
        </is>
      </c>
      <c r="B137" s="37" t="inlineStr">
        <is>
          <t>10.22.142.165</t>
        </is>
      </c>
      <c r="C137" s="37" t="n"/>
      <c r="D137" s="37" t="n"/>
      <c r="E137" s="37" t="n"/>
      <c r="F137" s="37" t="n"/>
      <c r="G137" s="37" t="n"/>
      <c r="H137" s="37" t="n">
        <v>136</v>
      </c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</row>
    <row r="138" ht="15" customHeight="1" s="17">
      <c r="A138" s="37" t="inlineStr">
        <is>
          <t>18:e8:29:d0:ae:7f</t>
        </is>
      </c>
      <c r="B138" s="37" t="inlineStr">
        <is>
          <t>10.22.142.168</t>
        </is>
      </c>
      <c r="C138" s="37" t="n"/>
      <c r="D138" s="37" t="n"/>
      <c r="E138" s="37" t="n"/>
      <c r="F138" s="37" t="n"/>
      <c r="G138" s="37" t="n"/>
      <c r="H138" s="37" t="n">
        <v>137</v>
      </c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</row>
    <row r="139" ht="15" customHeight="1" s="17">
      <c r="A139" s="37" t="inlineStr">
        <is>
          <t>24:5a:4c:d8:a5:a9</t>
        </is>
      </c>
      <c r="B139" s="37" t="inlineStr">
        <is>
          <t>10.22.142.173</t>
        </is>
      </c>
      <c r="C139" s="37" t="n"/>
      <c r="D139" s="37" t="n"/>
      <c r="E139" s="37" t="n"/>
      <c r="F139" s="37" t="n"/>
      <c r="G139" s="37" t="n"/>
      <c r="H139" s="37" t="n">
        <v>138</v>
      </c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</row>
    <row r="140" ht="15" customHeight="1" s="17">
      <c r="A140" s="37" t="inlineStr">
        <is>
          <t>68:d7:9a:9e:d5:0e</t>
        </is>
      </c>
      <c r="B140" s="37" t="inlineStr">
        <is>
          <t>10.22.142.19</t>
        </is>
      </c>
      <c r="C140" s="37" t="n"/>
      <c r="D140" s="37" t="n"/>
      <c r="E140" s="37" t="n"/>
      <c r="F140" s="37" t="n"/>
      <c r="G140" s="37" t="n"/>
      <c r="H140" s="37" t="n">
        <v>139</v>
      </c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</row>
    <row r="141" ht="15" customHeight="1" s="17">
      <c r="A141" s="37" t="inlineStr">
        <is>
          <t>44:d9:e7:d2:ec:22</t>
        </is>
      </c>
      <c r="B141" s="37" t="inlineStr">
        <is>
          <t>10.22.142.44</t>
        </is>
      </c>
      <c r="C141" s="37" t="n"/>
      <c r="D141" s="37" t="n"/>
      <c r="E141" s="37" t="n"/>
      <c r="F141" s="37" t="n"/>
      <c r="G141" s="37" t="n"/>
      <c r="H141" s="37" t="n">
        <v>140</v>
      </c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</row>
    <row r="142" ht="15" customHeight="1" s="17">
      <c r="A142" s="37" t="inlineStr">
        <is>
          <t>18:e8:29:8e:65:03</t>
        </is>
      </c>
      <c r="B142" s="37" t="inlineStr">
        <is>
          <t>10.22.142.6</t>
        </is>
      </c>
      <c r="C142" s="37" t="n"/>
      <c r="D142" s="37" t="n"/>
      <c r="E142" s="37" t="n"/>
      <c r="F142" s="37" t="n"/>
      <c r="G142" s="37" t="n"/>
      <c r="H142" s="37" t="n">
        <v>141</v>
      </c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</row>
    <row r="143" ht="15" customHeight="1" s="17">
      <c r="A143" s="37" t="inlineStr">
        <is>
          <t>78:8a:20:9e:dd:55</t>
        </is>
      </c>
      <c r="B143" s="37" t="inlineStr">
        <is>
          <t>10.22.142.92</t>
        </is>
      </c>
      <c r="C143" s="37" t="n"/>
      <c r="D143" s="37" t="n"/>
      <c r="E143" s="37" t="n"/>
      <c r="F143" s="37" t="n"/>
      <c r="G143" s="37" t="n"/>
      <c r="H143" s="37" t="n">
        <v>142</v>
      </c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</row>
    <row r="144" ht="15" customHeight="1" s="17">
      <c r="A144" s="37" t="inlineStr">
        <is>
          <t>9c:05:d6:8a:c8:04</t>
        </is>
      </c>
      <c r="B144" s="37" t="inlineStr">
        <is>
          <t>10.22.142.96</t>
        </is>
      </c>
      <c r="C144" s="37" t="n"/>
      <c r="D144" s="37" t="n"/>
      <c r="E144" s="37" t="n"/>
      <c r="F144" s="37" t="n"/>
      <c r="G144" s="37" t="n"/>
      <c r="H144" s="37" t="n">
        <v>143</v>
      </c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</row>
    <row r="145" ht="15" customHeight="1" s="17">
      <c r="A145" s="37" t="inlineStr">
        <is>
          <t>fc:ec:da:58:e6:05</t>
        </is>
      </c>
      <c r="B145" s="37" t="inlineStr">
        <is>
          <t>10.22.144.18</t>
        </is>
      </c>
      <c r="C145" s="37" t="n"/>
      <c r="D145" s="37" t="n"/>
      <c r="E145" s="37" t="n"/>
      <c r="F145" s="37" t="n"/>
      <c r="G145" s="37" t="n"/>
      <c r="H145" s="37" t="n">
        <v>144</v>
      </c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</row>
    <row r="146" ht="15" customHeight="1" s="17">
      <c r="A146" s="37" t="inlineStr">
        <is>
          <t>f4:92:bf:f8:7f:24</t>
        </is>
      </c>
      <c r="B146" s="37" t="inlineStr">
        <is>
          <t>10.22.144.25</t>
        </is>
      </c>
      <c r="C146" s="37" t="n"/>
      <c r="D146" s="37" t="n"/>
      <c r="E146" s="37" t="n"/>
      <c r="F146" s="37" t="n"/>
      <c r="G146" s="37" t="n"/>
      <c r="H146" s="37" t="n">
        <v>145</v>
      </c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</row>
    <row r="147" ht="15" customHeight="1" s="17">
      <c r="A147" s="37" t="inlineStr">
        <is>
          <t>fc:ec:da:26:80:25</t>
        </is>
      </c>
      <c r="B147" s="37" t="inlineStr">
        <is>
          <t>10.22.144.38</t>
        </is>
      </c>
      <c r="C147" s="37" t="n"/>
      <c r="D147" s="37" t="n"/>
      <c r="E147" s="37" t="n"/>
      <c r="F147" s="37" t="n"/>
      <c r="G147" s="37" t="n"/>
      <c r="H147" s="37" t="n">
        <v>146</v>
      </c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</row>
    <row r="148" ht="15" customHeight="1" s="17">
      <c r="A148" s="37" t="inlineStr">
        <is>
          <t>44:d9:e7:0a:ec:cc</t>
        </is>
      </c>
      <c r="B148" s="37" t="inlineStr">
        <is>
          <t>10.22.144.5</t>
        </is>
      </c>
      <c r="C148" s="37" t="n"/>
      <c r="D148" s="37" t="n"/>
      <c r="E148" s="37" t="n"/>
      <c r="F148" s="37" t="n"/>
      <c r="G148" s="37" t="n"/>
      <c r="H148" s="37" t="n">
        <v>147</v>
      </c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</row>
    <row r="149" ht="15" customHeight="1" s="17">
      <c r="A149" s="37" t="inlineStr">
        <is>
          <t>60:22:32:ce:94:1b</t>
        </is>
      </c>
      <c r="B149" s="37" t="inlineStr">
        <is>
          <t>10.22.144.9</t>
        </is>
      </c>
      <c r="C149" s="37" t="n"/>
      <c r="D149" s="37" t="n"/>
      <c r="E149" s="37" t="n"/>
      <c r="F149" s="37" t="n"/>
      <c r="G149" s="37" t="n"/>
      <c r="H149" s="37" t="n">
        <v>148</v>
      </c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</row>
    <row r="150" ht="15" customHeight="1" s="17">
      <c r="A150" s="37" t="inlineStr">
        <is>
          <t>18:e8:29:d0:87:6b</t>
        </is>
      </c>
      <c r="B150" s="37" t="inlineStr">
        <is>
          <t>10.22.145.11</t>
        </is>
      </c>
      <c r="C150" s="37" t="n"/>
      <c r="D150" s="37" t="n"/>
      <c r="E150" s="37" t="n"/>
      <c r="F150" s="37" t="n"/>
      <c r="G150" s="37" t="n"/>
      <c r="H150" s="37" t="n">
        <v>149</v>
      </c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</row>
    <row r="151" ht="15" customHeight="1" s="17">
      <c r="A151" s="37" t="inlineStr">
        <is>
          <t>fc:ec:da:24:fc:ff</t>
        </is>
      </c>
      <c r="B151" s="37" t="inlineStr">
        <is>
          <t>10.22.145.16</t>
        </is>
      </c>
      <c r="C151" s="37" t="n"/>
      <c r="D151" s="37" t="n"/>
      <c r="E151" s="37" t="n"/>
      <c r="F151" s="37" t="n"/>
      <c r="G151" s="37" t="n"/>
      <c r="H151" s="37" t="n">
        <v>150</v>
      </c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</row>
    <row r="152" ht="15" customHeight="1" s="17">
      <c r="A152" s="37" t="inlineStr">
        <is>
          <t>1c:6a:1b:ba:10:ab</t>
        </is>
      </c>
      <c r="B152" s="37" t="inlineStr">
        <is>
          <t>10.22.145.4</t>
        </is>
      </c>
      <c r="C152" s="37" t="n"/>
      <c r="D152" s="37" t="n"/>
      <c r="E152" s="37" t="n"/>
      <c r="F152" s="37" t="n"/>
      <c r="G152" s="37" t="n"/>
      <c r="H152" s="37" t="n">
        <v>151</v>
      </c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</row>
    <row r="153" ht="15" customHeight="1" s="17">
      <c r="A153" s="37" t="inlineStr">
        <is>
          <t>60:22:32:ce:80:d2</t>
        </is>
      </c>
      <c r="B153" s="37" t="inlineStr">
        <is>
          <t>10.22.149.29</t>
        </is>
      </c>
      <c r="C153" s="37" t="n"/>
      <c r="D153" s="37" t="n"/>
      <c r="E153" s="37" t="n"/>
      <c r="F153" s="37" t="n"/>
      <c r="G153" s="37" t="n"/>
      <c r="H153" s="37" t="n">
        <v>152</v>
      </c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</row>
    <row r="154" ht="15" customHeight="1" s="17">
      <c r="A154" s="37" t="inlineStr">
        <is>
          <t>f4:e2:c6:88:22:bd</t>
        </is>
      </c>
      <c r="B154" s="37" t="inlineStr">
        <is>
          <t>10.22.149.49</t>
        </is>
      </c>
      <c r="C154" s="37" t="n"/>
      <c r="D154" s="37" t="n"/>
      <c r="E154" s="37" t="n"/>
      <c r="F154" s="37" t="n"/>
      <c r="G154" s="37" t="n"/>
      <c r="H154" s="37" t="n">
        <v>153</v>
      </c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</row>
    <row r="155" ht="15" customHeight="1" s="17">
      <c r="A155" s="37" t="inlineStr">
        <is>
          <t>fc:ec:da:2a:cf:64</t>
        </is>
      </c>
      <c r="B155" s="37" t="inlineStr">
        <is>
          <t>10.22.149.5</t>
        </is>
      </c>
      <c r="C155" s="37" t="n"/>
      <c r="D155" s="37" t="n"/>
      <c r="E155" s="37" t="n"/>
      <c r="F155" s="37" t="n"/>
      <c r="G155" s="37" t="n"/>
      <c r="H155" s="37" t="n">
        <v>154</v>
      </c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</row>
    <row r="156" ht="15" customHeight="1" s="17">
      <c r="A156" s="37" t="inlineStr">
        <is>
          <t>f4:e2:c6:88:22:dc</t>
        </is>
      </c>
      <c r="B156" s="37" t="inlineStr">
        <is>
          <t>10.22.149.50</t>
        </is>
      </c>
      <c r="C156" s="37" t="n"/>
      <c r="D156" s="37" t="n"/>
      <c r="E156" s="37" t="n"/>
      <c r="F156" s="37" t="n"/>
      <c r="G156" s="37" t="n"/>
      <c r="H156" s="37" t="n">
        <v>155</v>
      </c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</row>
    <row r="157" ht="15" customHeight="1" s="17">
      <c r="A157" s="37" t="inlineStr">
        <is>
          <t>44:d9:e7:2a:41:db</t>
        </is>
      </c>
      <c r="B157" s="37" t="inlineStr">
        <is>
          <t>10.22.149.67</t>
        </is>
      </c>
      <c r="C157" s="37" t="n"/>
      <c r="D157" s="37" t="n"/>
      <c r="E157" s="37" t="n"/>
      <c r="F157" s="37" t="n"/>
      <c r="G157" s="37" t="n"/>
      <c r="H157" s="37" t="n">
        <v>156</v>
      </c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</row>
    <row r="158" ht="15" customHeight="1" s="17">
      <c r="A158" s="37" t="inlineStr">
        <is>
          <t>24:5a:4c:d8:a9:d9</t>
        </is>
      </c>
      <c r="B158" s="37" t="inlineStr">
        <is>
          <t>10.22.150.114</t>
        </is>
      </c>
      <c r="C158" s="37" t="n"/>
      <c r="D158" s="37" t="n"/>
      <c r="E158" s="37" t="n"/>
      <c r="F158" s="37" t="n"/>
      <c r="G158" s="37" t="n"/>
      <c r="H158" s="37" t="n">
        <v>157</v>
      </c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</row>
    <row r="159" ht="15" customHeight="1" s="17">
      <c r="A159" s="37" t="inlineStr">
        <is>
          <t>fc:ec:da:2a:fc:ed</t>
        </is>
      </c>
      <c r="B159" s="37" t="inlineStr">
        <is>
          <t>10.22.150.169</t>
        </is>
      </c>
      <c r="C159" s="37" t="n"/>
      <c r="D159" s="37" t="n"/>
      <c r="E159" s="37" t="n"/>
      <c r="F159" s="37" t="n"/>
      <c r="G159" s="37" t="n"/>
      <c r="H159" s="37" t="n">
        <v>158</v>
      </c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</row>
    <row r="160" ht="15" customHeight="1" s="17">
      <c r="A160" s="37" t="inlineStr">
        <is>
          <t>9c:05:d6:8c:6e:52</t>
        </is>
      </c>
      <c r="B160" s="37" t="inlineStr">
        <is>
          <t>10.22.150.67</t>
        </is>
      </c>
      <c r="C160" s="37" t="n"/>
      <c r="D160" s="37" t="n"/>
      <c r="E160" s="37" t="n"/>
      <c r="F160" s="37" t="n"/>
      <c r="G160" s="37" t="n"/>
      <c r="H160" s="37" t="n">
        <v>159</v>
      </c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</row>
    <row r="161" ht="15" customHeight="1" s="17">
      <c r="A161" s="37" t="inlineStr">
        <is>
          <t>18:e8:29:d4:76:6d</t>
        </is>
      </c>
      <c r="B161" s="37" t="inlineStr">
        <is>
          <t>10.22.150.91</t>
        </is>
      </c>
      <c r="C161" s="37" t="n"/>
      <c r="D161" s="37" t="n"/>
      <c r="E161" s="37" t="n"/>
      <c r="F161" s="37" t="n"/>
      <c r="G161" s="37" t="n"/>
      <c r="H161" s="37" t="n">
        <v>160</v>
      </c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</row>
    <row r="162" ht="15" customHeight="1" s="17">
      <c r="A162" s="37" t="inlineStr">
        <is>
          <t>f4:e2:c6:88:21:b2</t>
        </is>
      </c>
      <c r="B162" s="37" t="inlineStr">
        <is>
          <t>10.22.150.98</t>
        </is>
      </c>
      <c r="C162" s="37" t="n"/>
      <c r="D162" s="37" t="n"/>
      <c r="E162" s="37" t="n"/>
      <c r="F162" s="37" t="n"/>
      <c r="G162" s="37" t="n"/>
      <c r="H162" s="37" t="n">
        <v>161</v>
      </c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</row>
    <row r="163" ht="15" customHeight="1" s="17">
      <c r="A163" s="37" t="inlineStr">
        <is>
          <t>44:d9:e7:2a:40:4d</t>
        </is>
      </c>
      <c r="B163" s="37" t="inlineStr">
        <is>
          <t>10.22.151.14</t>
        </is>
      </c>
      <c r="C163" s="37" t="n"/>
      <c r="D163" s="37" t="n"/>
      <c r="E163" s="37" t="n"/>
      <c r="F163" s="37" t="n"/>
      <c r="G163" s="37" t="n"/>
      <c r="H163" s="37" t="n">
        <v>162</v>
      </c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</row>
    <row r="164" ht="15" customHeight="1" s="17">
      <c r="A164" s="37" t="inlineStr">
        <is>
          <t>9c:05:d6:8c:4a:85</t>
        </is>
      </c>
      <c r="B164" s="37" t="inlineStr">
        <is>
          <t>10.22.151.46</t>
        </is>
      </c>
      <c r="C164" s="37" t="n"/>
      <c r="D164" s="37" t="n"/>
      <c r="E164" s="37" t="n"/>
      <c r="F164" s="37" t="n"/>
      <c r="G164" s="37" t="n"/>
      <c r="H164" s="37" t="n">
        <v>163</v>
      </c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</row>
    <row r="165" ht="15" customHeight="1" s="17">
      <c r="A165" s="37" t="inlineStr">
        <is>
          <t>b4:fb:e4:bc:9b:e4</t>
        </is>
      </c>
      <c r="B165" s="37" t="inlineStr">
        <is>
          <t>10.22.152.110</t>
        </is>
      </c>
      <c r="C165" s="37" t="n"/>
      <c r="D165" s="37" t="n"/>
      <c r="E165" s="37" t="n"/>
      <c r="F165" s="37" t="n"/>
      <c r="G165" s="37" t="n"/>
      <c r="H165" s="37" t="n">
        <v>164</v>
      </c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</row>
    <row r="166" ht="15" customHeight="1" s="17">
      <c r="A166" s="37" t="inlineStr">
        <is>
          <t>60:22:32:d0:90:92</t>
        </is>
      </c>
      <c r="B166" s="37" t="inlineStr">
        <is>
          <t>10.22.152.113</t>
        </is>
      </c>
      <c r="C166" s="37" t="n"/>
      <c r="D166" s="37" t="n"/>
      <c r="E166" s="37" t="n"/>
      <c r="F166" s="37" t="n"/>
      <c r="G166" s="37" t="n"/>
      <c r="H166" s="37" t="n">
        <v>165</v>
      </c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</row>
    <row r="167" ht="15" customHeight="1" s="17">
      <c r="A167" s="37" t="inlineStr">
        <is>
          <t>f4:92:bf:f0:89:49</t>
        </is>
      </c>
      <c r="B167" s="37" t="inlineStr">
        <is>
          <t>10.22.152.117</t>
        </is>
      </c>
      <c r="C167" s="37" t="n"/>
      <c r="D167" s="37" t="n"/>
      <c r="E167" s="37" t="n"/>
      <c r="F167" s="37" t="n"/>
      <c r="G167" s="37" t="n"/>
      <c r="H167" s="37" t="n">
        <v>166</v>
      </c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</row>
    <row r="168" ht="15" customHeight="1" s="17">
      <c r="A168" s="37" t="inlineStr">
        <is>
          <t>28:70:4e:ba:e7:1c</t>
        </is>
      </c>
      <c r="B168" s="37" t="inlineStr">
        <is>
          <t>10.22.152.128</t>
        </is>
      </c>
      <c r="C168" s="37" t="n"/>
      <c r="D168" s="37" t="n"/>
      <c r="E168" s="37" t="n"/>
      <c r="F168" s="37" t="n"/>
      <c r="G168" s="37" t="n"/>
      <c r="H168" s="37" t="n">
        <v>167</v>
      </c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</row>
    <row r="169" ht="15" customHeight="1" s="17">
      <c r="A169" s="37" t="inlineStr">
        <is>
          <t>24:5a:4c:d8:a3:1d</t>
        </is>
      </c>
      <c r="B169" s="37" t="inlineStr">
        <is>
          <t>10.22.152.135</t>
        </is>
      </c>
      <c r="C169" s="37" t="n"/>
      <c r="D169" s="37" t="n"/>
      <c r="E169" s="37" t="n"/>
      <c r="F169" s="37" t="n"/>
      <c r="G169" s="37" t="n"/>
      <c r="H169" s="37" t="n">
        <v>168</v>
      </c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</row>
    <row r="170" ht="15" customHeight="1" s="17">
      <c r="A170" s="37" t="inlineStr">
        <is>
          <t>9c:05:d6:8c:56:0a</t>
        </is>
      </c>
      <c r="B170" s="37" t="inlineStr">
        <is>
          <t>10.22.152.21</t>
        </is>
      </c>
      <c r="C170" s="37" t="n"/>
      <c r="D170" s="37" t="n"/>
      <c r="E170" s="37" t="n"/>
      <c r="F170" s="37" t="n"/>
      <c r="G170" s="37" t="n"/>
      <c r="H170" s="37" t="n">
        <v>169</v>
      </c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</row>
    <row r="171" ht="15" customHeight="1" s="17">
      <c r="A171" s="37" t="inlineStr">
        <is>
          <t>e0:63:da:4c:2e:0f</t>
        </is>
      </c>
      <c r="B171" s="37" t="inlineStr">
        <is>
          <t>10.22.152.24</t>
        </is>
      </c>
      <c r="C171" s="37" t="n"/>
      <c r="D171" s="37" t="n"/>
      <c r="E171" s="37" t="n"/>
      <c r="F171" s="37" t="n"/>
      <c r="G171" s="37" t="n"/>
      <c r="H171" s="37" t="n">
        <v>170</v>
      </c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</row>
    <row r="172" ht="15" customHeight="1" s="17">
      <c r="A172" s="37" t="inlineStr">
        <is>
          <t>18:e8:29:8e:76:71</t>
        </is>
      </c>
      <c r="B172" s="37" t="inlineStr">
        <is>
          <t>10.22.152.26</t>
        </is>
      </c>
      <c r="C172" s="37" t="n"/>
      <c r="D172" s="37" t="n"/>
      <c r="E172" s="37" t="n"/>
      <c r="F172" s="37" t="n"/>
      <c r="G172" s="37" t="n"/>
      <c r="H172" s="37" t="n">
        <v>171</v>
      </c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</row>
    <row r="173" ht="15" customHeight="1" s="17">
      <c r="A173" s="37" t="inlineStr">
        <is>
          <t>18:e8:29:d0:9b:a2</t>
        </is>
      </c>
      <c r="B173" s="37" t="inlineStr">
        <is>
          <t>10.22.152.42</t>
        </is>
      </c>
      <c r="C173" s="37" t="n"/>
      <c r="D173" s="37" t="n"/>
      <c r="E173" s="37" t="n"/>
      <c r="F173" s="37" t="n"/>
      <c r="G173" s="37" t="n"/>
      <c r="H173" s="37" t="n">
        <v>172</v>
      </c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</row>
    <row r="174" ht="15" customHeight="1" s="17">
      <c r="A174" s="37" t="inlineStr">
        <is>
          <t>68:d7:9a:a6:91:0e</t>
        </is>
      </c>
      <c r="B174" s="37" t="inlineStr">
        <is>
          <t>10.22.152.90</t>
        </is>
      </c>
      <c r="C174" s="37" t="n"/>
      <c r="D174" s="37" t="n"/>
      <c r="E174" s="37" t="n"/>
      <c r="F174" s="37" t="n"/>
      <c r="G174" s="37" t="n"/>
      <c r="H174" s="37" t="n">
        <v>173</v>
      </c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</row>
    <row r="175" ht="15" customHeight="1" s="17">
      <c r="A175" s="37" t="inlineStr">
        <is>
          <t>24:5a:4c:b2:c1:d8</t>
        </is>
      </c>
      <c r="B175" s="37" t="inlineStr">
        <is>
          <t>10.22.153.35</t>
        </is>
      </c>
      <c r="C175" s="37" t="n"/>
      <c r="D175" s="37" t="n"/>
      <c r="E175" s="37" t="n"/>
      <c r="F175" s="37" t="n"/>
      <c r="G175" s="37" t="n"/>
      <c r="H175" s="37" t="n">
        <v>174</v>
      </c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</row>
    <row r="176" ht="15" customHeight="1" s="17">
      <c r="A176" s="37" t="inlineStr">
        <is>
          <t>60:22:32:ce:73:3d</t>
        </is>
      </c>
      <c r="B176" s="37" t="inlineStr">
        <is>
          <t>10.22.154.19</t>
        </is>
      </c>
      <c r="C176" s="37" t="n"/>
      <c r="D176" s="37" t="n"/>
      <c r="E176" s="37" t="n"/>
      <c r="F176" s="37" t="n"/>
      <c r="G176" s="37" t="n"/>
      <c r="H176" s="37" t="n">
        <v>175</v>
      </c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</row>
    <row r="177" ht="15" customHeight="1" s="17">
      <c r="A177" s="37" t="inlineStr">
        <is>
          <t>f4:92:bf:f8:77:fd</t>
        </is>
      </c>
      <c r="B177" s="37" t="inlineStr">
        <is>
          <t>10.22.154.38</t>
        </is>
      </c>
      <c r="C177" s="37" t="n"/>
      <c r="D177" s="37" t="n"/>
      <c r="E177" s="37" t="n"/>
      <c r="F177" s="37" t="n"/>
      <c r="G177" s="37" t="n"/>
      <c r="H177" s="37" t="n">
        <v>176</v>
      </c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</row>
    <row r="178" ht="15" customHeight="1" s="17">
      <c r="A178" s="37" t="inlineStr">
        <is>
          <t>f4:e2:c6:92:d3:26</t>
        </is>
      </c>
      <c r="B178" s="37" t="inlineStr">
        <is>
          <t>10.22.154.40</t>
        </is>
      </c>
      <c r="C178" s="37" t="n"/>
      <c r="D178" s="37" t="n"/>
      <c r="E178" s="37" t="n"/>
      <c r="F178" s="37" t="n"/>
      <c r="G178" s="37" t="n"/>
      <c r="H178" s="37" t="n">
        <v>177</v>
      </c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</row>
    <row r="179" ht="15" customHeight="1" s="17">
      <c r="A179" s="37" t="inlineStr">
        <is>
          <t>9c:05:d6:8c:56:58</t>
        </is>
      </c>
      <c r="B179" s="37" t="inlineStr">
        <is>
          <t>10.22.154.56</t>
        </is>
      </c>
      <c r="C179" s="37" t="n"/>
      <c r="D179" s="37" t="n"/>
      <c r="E179" s="37" t="n"/>
      <c r="F179" s="37" t="n"/>
      <c r="G179" s="37" t="n"/>
      <c r="H179" s="37" t="n">
        <v>178</v>
      </c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</row>
    <row r="180" ht="15" customHeight="1" s="17">
      <c r="A180" s="37" t="inlineStr">
        <is>
          <t>18:e8:29:88:36:9a</t>
        </is>
      </c>
      <c r="B180" s="37" t="inlineStr">
        <is>
          <t>10.22.154.59</t>
        </is>
      </c>
      <c r="C180" s="37" t="n"/>
      <c r="D180" s="37" t="n"/>
      <c r="E180" s="37" t="n"/>
      <c r="F180" s="37" t="n"/>
      <c r="G180" s="37" t="n"/>
      <c r="H180" s="37" t="n">
        <v>179</v>
      </c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</row>
    <row r="181" ht="15" customHeight="1" s="17">
      <c r="A181" s="37" t="inlineStr">
        <is>
          <t>f4:92:bf:f8:5b:54</t>
        </is>
      </c>
      <c r="B181" s="37" t="inlineStr">
        <is>
          <t>10.22.154.63</t>
        </is>
      </c>
      <c r="C181" s="37" t="n"/>
      <c r="D181" s="37" t="n"/>
      <c r="E181" s="37" t="n"/>
      <c r="F181" s="37" t="n"/>
      <c r="G181" s="37" t="n"/>
      <c r="H181" s="37" t="n">
        <v>180</v>
      </c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</row>
    <row r="182" ht="15" customHeight="1" s="17">
      <c r="A182" s="37" t="inlineStr">
        <is>
          <t>fc:ec:da:50:16:90</t>
        </is>
      </c>
      <c r="B182" s="37" t="inlineStr">
        <is>
          <t>10.22.154.64</t>
        </is>
      </c>
      <c r="C182" s="37" t="n"/>
      <c r="D182" s="37" t="n"/>
      <c r="E182" s="37" t="n"/>
      <c r="F182" s="37" t="n"/>
      <c r="G182" s="37" t="n"/>
      <c r="H182" s="37" t="n">
        <v>181</v>
      </c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</row>
    <row r="183" ht="15" customHeight="1" s="17">
      <c r="A183" s="37" t="inlineStr">
        <is>
          <t>04:18:d6:f2:cc:45</t>
        </is>
      </c>
      <c r="B183" s="37" t="inlineStr">
        <is>
          <t>10.22.154.73</t>
        </is>
      </c>
      <c r="C183" s="37" t="n"/>
      <c r="D183" s="37" t="n"/>
      <c r="E183" s="37" t="n"/>
      <c r="F183" s="37" t="n"/>
      <c r="G183" s="37" t="n"/>
      <c r="H183" s="37" t="n">
        <v>182</v>
      </c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</row>
    <row r="184" ht="15" customHeight="1" s="17">
      <c r="A184" s="37" t="inlineStr">
        <is>
          <t>18:e8:29:3e:db:c6</t>
        </is>
      </c>
      <c r="B184" s="37" t="inlineStr">
        <is>
          <t>10.22.155.13</t>
        </is>
      </c>
      <c r="C184" s="37" t="n"/>
      <c r="D184" s="37" t="n"/>
      <c r="E184" s="37" t="n"/>
      <c r="F184" s="37" t="n"/>
      <c r="G184" s="37" t="n"/>
      <c r="H184" s="37" t="n">
        <v>183</v>
      </c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</row>
    <row r="185" ht="15" customHeight="1" s="17">
      <c r="A185" s="37" t="inlineStr">
        <is>
          <t>24:5a:4c:bc:fd:c1</t>
        </is>
      </c>
      <c r="B185" s="37" t="inlineStr">
        <is>
          <t>10.22.155.28</t>
        </is>
      </c>
      <c r="C185" s="37" t="n"/>
      <c r="D185" s="37" t="n"/>
      <c r="E185" s="37" t="n"/>
      <c r="F185" s="37" t="n"/>
      <c r="G185" s="37" t="n"/>
      <c r="H185" s="37" t="n">
        <v>184</v>
      </c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</row>
    <row r="186" ht="15" customHeight="1" s="17">
      <c r="A186" s="37" t="inlineStr">
        <is>
          <t>f4:92:bf:f8:77:cd</t>
        </is>
      </c>
      <c r="B186" s="37" t="inlineStr">
        <is>
          <t>10.22.155.42</t>
        </is>
      </c>
      <c r="C186" s="37" t="n"/>
      <c r="D186" s="37" t="n"/>
      <c r="E186" s="37" t="n"/>
      <c r="F186" s="37" t="n"/>
      <c r="G186" s="37" t="n"/>
      <c r="H186" s="37" t="n">
        <v>185</v>
      </c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</row>
    <row r="187" ht="15" customHeight="1" s="17">
      <c r="A187" s="37" t="inlineStr">
        <is>
          <t>18:e8:29:d8:a5:9f</t>
        </is>
      </c>
      <c r="B187" s="37" t="inlineStr">
        <is>
          <t>10.22.155.51</t>
        </is>
      </c>
      <c r="C187" s="37" t="n"/>
      <c r="D187" s="37" t="n"/>
      <c r="E187" s="37" t="n"/>
      <c r="F187" s="37" t="n"/>
      <c r="G187" s="37" t="n"/>
      <c r="H187" s="37" t="n">
        <v>186</v>
      </c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</row>
    <row r="188" ht="15" customHeight="1" s="17">
      <c r="A188" s="37" t="inlineStr">
        <is>
          <t>60:22:32:d8:59:4a</t>
        </is>
      </c>
      <c r="B188" s="37" t="inlineStr">
        <is>
          <t>10.22.155.91</t>
        </is>
      </c>
      <c r="C188" s="37" t="n"/>
      <c r="D188" s="37" t="n"/>
      <c r="E188" s="37" t="n"/>
      <c r="F188" s="37" t="n"/>
      <c r="G188" s="37" t="n"/>
      <c r="H188" s="37" t="n">
        <v>187</v>
      </c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</row>
    <row r="189" ht="15" customHeight="1" s="17">
      <c r="A189" s="37" t="inlineStr">
        <is>
          <t>18:e8:29:d8:c2:f2</t>
        </is>
      </c>
      <c r="B189" s="37" t="inlineStr">
        <is>
          <t>10.22.156.101</t>
        </is>
      </c>
      <c r="C189" s="37" t="n"/>
      <c r="D189" s="37" t="n"/>
      <c r="E189" s="37" t="n"/>
      <c r="F189" s="37" t="n"/>
      <c r="G189" s="37" t="n"/>
      <c r="H189" s="37" t="n">
        <v>188</v>
      </c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</row>
    <row r="190" ht="15" customHeight="1" s="17">
      <c r="A190" s="37" t="inlineStr">
        <is>
          <t>74:83:c2:5c:33:f2</t>
        </is>
      </c>
      <c r="B190" s="37" t="inlineStr">
        <is>
          <t>10.22.156.11</t>
        </is>
      </c>
      <c r="C190" s="37" t="n"/>
      <c r="D190" s="37" t="n"/>
      <c r="E190" s="37" t="n"/>
      <c r="F190" s="37" t="n"/>
      <c r="G190" s="37" t="n"/>
      <c r="H190" s="37" t="n">
        <v>189</v>
      </c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</row>
    <row r="191" ht="15" customHeight="1" s="17">
      <c r="A191" s="37" t="inlineStr">
        <is>
          <t>18:e8:29:d4:ce:a1</t>
        </is>
      </c>
      <c r="B191" s="37" t="inlineStr">
        <is>
          <t>10.22.156.111</t>
        </is>
      </c>
      <c r="C191" s="37" t="n"/>
      <c r="D191" s="37" t="n"/>
      <c r="E191" s="37" t="n"/>
      <c r="F191" s="37" t="n"/>
      <c r="G191" s="37" t="n"/>
      <c r="H191" s="37" t="n">
        <v>190</v>
      </c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</row>
    <row r="192" ht="15" customHeight="1" s="17">
      <c r="A192" s="37" t="inlineStr">
        <is>
          <t>e0:63:da:4c:2c:e0</t>
        </is>
      </c>
      <c r="B192" s="37" t="inlineStr">
        <is>
          <t>10.22.156.130</t>
        </is>
      </c>
      <c r="C192" s="37" t="n"/>
      <c r="D192" s="37" t="n"/>
      <c r="E192" s="37" t="n"/>
      <c r="F192" s="37" t="n"/>
      <c r="G192" s="37" t="n"/>
      <c r="H192" s="37" t="n">
        <v>191</v>
      </c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</row>
    <row r="193" ht="15" customHeight="1" s="17">
      <c r="A193" s="37" t="inlineStr">
        <is>
          <t>80:2a:a8:b6:b2:9e</t>
        </is>
      </c>
      <c r="B193" s="37" t="inlineStr">
        <is>
          <t>10.22.156.140</t>
        </is>
      </c>
      <c r="C193" s="37" t="n"/>
      <c r="D193" s="37" t="n"/>
      <c r="E193" s="37" t="n"/>
      <c r="F193" s="37" t="n"/>
      <c r="G193" s="37" t="n"/>
      <c r="H193" s="37" t="n">
        <v>192</v>
      </c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</row>
    <row r="194" ht="15" customHeight="1" s="17">
      <c r="A194" s="37" t="inlineStr">
        <is>
          <t>9c:05:d6:8c:5f:c8</t>
        </is>
      </c>
      <c r="B194" s="37" t="inlineStr">
        <is>
          <t>10.22.156.141</t>
        </is>
      </c>
      <c r="C194" s="37" t="n"/>
      <c r="D194" s="37" t="n"/>
      <c r="E194" s="37" t="n"/>
      <c r="F194" s="37" t="n"/>
      <c r="G194" s="37" t="n"/>
      <c r="H194" s="37" t="n">
        <v>193</v>
      </c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</row>
    <row r="195" ht="15" customHeight="1" s="17">
      <c r="A195" s="37" t="inlineStr">
        <is>
          <t>68:d7:9a:aa:c5:06</t>
        </is>
      </c>
      <c r="B195" s="37" t="inlineStr">
        <is>
          <t>10.22.156.142</t>
        </is>
      </c>
      <c r="C195" s="37" t="n"/>
      <c r="D195" s="37" t="n"/>
      <c r="E195" s="37" t="n"/>
      <c r="F195" s="37" t="n"/>
      <c r="G195" s="37" t="n"/>
      <c r="H195" s="37" t="n">
        <v>194</v>
      </c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</row>
    <row r="196" ht="15" customHeight="1" s="17">
      <c r="A196" s="37" t="inlineStr">
        <is>
          <t>44:d9:e7:d2:f3:7c</t>
        </is>
      </c>
      <c r="B196" s="37" t="inlineStr">
        <is>
          <t>10.22.156.153</t>
        </is>
      </c>
      <c r="C196" s="37" t="n"/>
      <c r="D196" s="37" t="n"/>
      <c r="E196" s="37" t="n"/>
      <c r="F196" s="37" t="n"/>
      <c r="G196" s="37" t="n"/>
      <c r="H196" s="37" t="n">
        <v>195</v>
      </c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</row>
    <row r="197" ht="15" customHeight="1" s="17">
      <c r="A197" s="37" t="inlineStr">
        <is>
          <t>f4:92:bf:f8:80:62</t>
        </is>
      </c>
      <c r="B197" s="37" t="inlineStr">
        <is>
          <t>10.22.156.159</t>
        </is>
      </c>
      <c r="C197" s="37" t="n"/>
      <c r="D197" s="37" t="n"/>
      <c r="E197" s="37" t="n"/>
      <c r="F197" s="37" t="n"/>
      <c r="G197" s="37" t="n"/>
      <c r="H197" s="37" t="n">
        <v>196</v>
      </c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</row>
    <row r="198" ht="15" customHeight="1" s="17">
      <c r="A198" s="37" t="inlineStr">
        <is>
          <t>f0:9f:c2:58:46:79</t>
        </is>
      </c>
      <c r="B198" s="37" t="inlineStr">
        <is>
          <t>10.22.156.17</t>
        </is>
      </c>
      <c r="C198" s="37" t="n"/>
      <c r="D198" s="37" t="n"/>
      <c r="E198" s="37" t="n"/>
      <c r="F198" s="37" t="n"/>
      <c r="G198" s="37" t="n"/>
      <c r="H198" s="37" t="n">
        <v>197</v>
      </c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</row>
    <row r="199" ht="15" customHeight="1" s="17">
      <c r="A199" s="37" t="inlineStr">
        <is>
          <t>9c:05:d6:8c:59:45</t>
        </is>
      </c>
      <c r="B199" s="37" t="inlineStr">
        <is>
          <t>10.22.156.172</t>
        </is>
      </c>
      <c r="C199" s="37" t="n"/>
      <c r="D199" s="37" t="n"/>
      <c r="E199" s="37" t="n"/>
      <c r="F199" s="37" t="n"/>
      <c r="G199" s="37" t="n"/>
      <c r="H199" s="37" t="n">
        <v>198</v>
      </c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</row>
    <row r="200" ht="15" customHeight="1" s="17">
      <c r="A200" s="37" t="inlineStr">
        <is>
          <t>28:70:4e:a0:75:dd</t>
        </is>
      </c>
      <c r="B200" s="37" t="inlineStr">
        <is>
          <t>10.22.156.177</t>
        </is>
      </c>
      <c r="C200" s="37" t="n"/>
      <c r="D200" s="37" t="n"/>
      <c r="E200" s="37" t="n"/>
      <c r="F200" s="37" t="n"/>
      <c r="G200" s="37" t="n"/>
      <c r="H200" s="37" t="n">
        <v>199</v>
      </c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</row>
    <row r="201" ht="15" customHeight="1" s="17">
      <c r="A201" s="37" t="inlineStr">
        <is>
          <t>9c:05:d6:84:6d:e3</t>
        </is>
      </c>
      <c r="B201" s="37" t="inlineStr">
        <is>
          <t>10.22.156.33</t>
        </is>
      </c>
      <c r="C201" s="37" t="n"/>
      <c r="D201" s="37" t="n"/>
      <c r="E201" s="37" t="n"/>
      <c r="F201" s="37" t="n"/>
      <c r="G201" s="37" t="n"/>
      <c r="H201" s="37" t="n">
        <v>200</v>
      </c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</row>
    <row r="202" ht="15" customHeight="1" s="17">
      <c r="A202" s="37" t="inlineStr">
        <is>
          <t>b4:fb:e4:32:c7:67</t>
        </is>
      </c>
      <c r="B202" s="37" t="inlineStr">
        <is>
          <t>10.22.156.51</t>
        </is>
      </c>
      <c r="C202" s="37" t="n"/>
      <c r="D202" s="37" t="n"/>
      <c r="E202" s="37" t="n"/>
      <c r="F202" s="37" t="n"/>
      <c r="G202" s="37" t="n"/>
      <c r="H202" s="37" t="n">
        <v>201</v>
      </c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</row>
    <row r="203" ht="15" customHeight="1" s="17">
      <c r="A203" s="37" t="inlineStr">
        <is>
          <t>9c:05:d6:84:18:b7</t>
        </is>
      </c>
      <c r="B203" s="37" t="inlineStr">
        <is>
          <t>10.22.156.70</t>
        </is>
      </c>
      <c r="C203" s="37" t="n"/>
      <c r="D203" s="37" t="n"/>
      <c r="E203" s="37" t="n"/>
      <c r="F203" s="37" t="n"/>
      <c r="G203" s="37" t="n"/>
      <c r="H203" s="37" t="n">
        <v>202</v>
      </c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</row>
    <row r="204" ht="15" customHeight="1" s="17">
      <c r="A204" s="37" t="inlineStr">
        <is>
          <t>f4:e2:c6:88:22:c7</t>
        </is>
      </c>
      <c r="B204" s="37" t="inlineStr">
        <is>
          <t>10.22.156.92</t>
        </is>
      </c>
      <c r="C204" s="37" t="n"/>
      <c r="D204" s="37" t="n"/>
      <c r="E204" s="37" t="n"/>
      <c r="F204" s="37" t="n"/>
      <c r="G204" s="37" t="n"/>
      <c r="H204" s="37" t="n">
        <v>203</v>
      </c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</row>
    <row r="205" ht="15" customHeight="1" s="17">
      <c r="A205" s="37" t="inlineStr">
        <is>
          <t>1c:6a:1b:c4:b6:b9</t>
        </is>
      </c>
      <c r="B205" s="37" t="inlineStr">
        <is>
          <t>10.22.157.106</t>
        </is>
      </c>
      <c r="C205" s="37" t="n"/>
      <c r="D205" s="37" t="n"/>
      <c r="E205" s="37" t="n"/>
      <c r="F205" s="37" t="n"/>
      <c r="G205" s="37" t="n"/>
      <c r="H205" s="37" t="n">
        <v>204</v>
      </c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</row>
    <row r="206" ht="15" customHeight="1" s="17">
      <c r="A206" s="37" t="inlineStr">
        <is>
          <t>e0:63:da:48:6b:22</t>
        </is>
      </c>
      <c r="B206" s="37" t="inlineStr">
        <is>
          <t>10.22.157.20</t>
        </is>
      </c>
      <c r="C206" s="37" t="n"/>
      <c r="D206" s="37" t="n"/>
      <c r="E206" s="37" t="n"/>
      <c r="F206" s="37" t="n"/>
      <c r="G206" s="37" t="n"/>
      <c r="H206" s="37" t="n">
        <v>205</v>
      </c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</row>
    <row r="207" ht="15" customHeight="1" s="17">
      <c r="A207" s="37" t="inlineStr">
        <is>
          <t>18:e8:29:88:2e:a3</t>
        </is>
      </c>
      <c r="B207" s="37" t="inlineStr">
        <is>
          <t>10.22.157.30</t>
        </is>
      </c>
      <c r="C207" s="37" t="n"/>
      <c r="D207" s="37" t="n"/>
      <c r="E207" s="37" t="n"/>
      <c r="F207" s="37" t="n"/>
      <c r="G207" s="37" t="n"/>
      <c r="H207" s="37" t="n">
        <v>206</v>
      </c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</row>
    <row r="208" ht="15" customHeight="1" s="17">
      <c r="A208" s="37" t="inlineStr">
        <is>
          <t>60:22:32:ce:76:c0</t>
        </is>
      </c>
      <c r="B208" s="37" t="inlineStr">
        <is>
          <t>10.22.157.49</t>
        </is>
      </c>
      <c r="C208" s="37" t="n"/>
      <c r="D208" s="37" t="n"/>
      <c r="E208" s="37" t="n"/>
      <c r="F208" s="37" t="n"/>
      <c r="G208" s="37" t="n"/>
      <c r="H208" s="37" t="n">
        <v>207</v>
      </c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</row>
    <row r="209" ht="15" customHeight="1" s="17">
      <c r="A209" s="37" t="inlineStr">
        <is>
          <t>9c:05:d6:8c:4d:e0</t>
        </is>
      </c>
      <c r="B209" s="37" t="inlineStr">
        <is>
          <t>10.22.157.51</t>
        </is>
      </c>
      <c r="C209" s="37" t="n"/>
      <c r="D209" s="37" t="n"/>
      <c r="E209" s="37" t="n"/>
      <c r="F209" s="37" t="n"/>
      <c r="G209" s="37" t="n"/>
      <c r="H209" s="37" t="n">
        <v>208</v>
      </c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</row>
    <row r="210" ht="15" customHeight="1" s="17">
      <c r="A210" s="37" t="inlineStr">
        <is>
          <t>f4:e2:c6:92:f1:27</t>
        </is>
      </c>
      <c r="B210" s="37" t="inlineStr">
        <is>
          <t>10.22.157.59</t>
        </is>
      </c>
      <c r="C210" s="37" t="n"/>
      <c r="D210" s="37" t="n"/>
      <c r="E210" s="37" t="n"/>
      <c r="F210" s="37" t="n"/>
      <c r="G210" s="37" t="n"/>
      <c r="H210" s="37" t="n">
        <v>209</v>
      </c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</row>
    <row r="211" ht="15" customHeight="1" s="17">
      <c r="A211" s="37" t="inlineStr">
        <is>
          <t>68:d7:9a:aa:bd:da</t>
        </is>
      </c>
      <c r="B211" s="37" t="inlineStr">
        <is>
          <t>10.22.157.60</t>
        </is>
      </c>
      <c r="C211" s="37" t="n"/>
      <c r="D211" s="37" t="n"/>
      <c r="E211" s="37" t="n"/>
      <c r="F211" s="37" t="n"/>
      <c r="G211" s="37" t="n"/>
      <c r="H211" s="37" t="n">
        <v>210</v>
      </c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</row>
    <row r="212" ht="15" customHeight="1" s="17">
      <c r="A212" s="37" t="inlineStr">
        <is>
          <t>68:d7:9a:a6:90:f3</t>
        </is>
      </c>
      <c r="B212" s="37" t="inlineStr">
        <is>
          <t>10.22.157.64</t>
        </is>
      </c>
      <c r="C212" s="37" t="n"/>
      <c r="D212" s="37" t="n"/>
      <c r="E212" s="37" t="n"/>
      <c r="F212" s="37" t="n"/>
      <c r="G212" s="37" t="n"/>
      <c r="H212" s="37" t="n">
        <v>211</v>
      </c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</row>
    <row r="213" ht="15" customHeight="1" s="17">
      <c r="A213" s="37" t="inlineStr">
        <is>
          <t>74:83:c2:5c:3c:a0</t>
        </is>
      </c>
      <c r="B213" s="37" t="inlineStr">
        <is>
          <t>10.22.157.68</t>
        </is>
      </c>
      <c r="C213" s="37" t="n"/>
      <c r="D213" s="37" t="n"/>
      <c r="E213" s="37" t="n"/>
      <c r="F213" s="37" t="n"/>
      <c r="G213" s="37" t="n"/>
      <c r="H213" s="37" t="n">
        <v>212</v>
      </c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</row>
    <row r="214" ht="15" customHeight="1" s="17">
      <c r="A214" s="37" t="inlineStr">
        <is>
          <t>e0:63:da:48:6c:68</t>
        </is>
      </c>
      <c r="B214" s="37" t="inlineStr">
        <is>
          <t>10.22.157.72</t>
        </is>
      </c>
      <c r="C214" s="37" t="n"/>
      <c r="D214" s="37" t="n"/>
      <c r="E214" s="37" t="n"/>
      <c r="F214" s="37" t="n"/>
      <c r="G214" s="37" t="n"/>
      <c r="H214" s="37" t="n">
        <v>213</v>
      </c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</row>
    <row r="215" ht="15" customHeight="1" s="17">
      <c r="A215" s="37" t="inlineStr">
        <is>
          <t>e0:63:da:f2:52:2c</t>
        </is>
      </c>
      <c r="B215" s="37" t="inlineStr">
        <is>
          <t>10.22.158.1</t>
        </is>
      </c>
      <c r="C215" s="37" t="n"/>
      <c r="D215" s="37" t="n"/>
      <c r="E215" s="37" t="n"/>
      <c r="F215" s="37" t="n"/>
      <c r="G215" s="37" t="n"/>
      <c r="H215" s="37" t="n">
        <v>214</v>
      </c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</row>
    <row r="216" ht="15" customHeight="1" s="17">
      <c r="A216" s="37" t="inlineStr">
        <is>
          <t>60:22:32:d0:8f:f4</t>
        </is>
      </c>
      <c r="B216" s="37" t="inlineStr">
        <is>
          <t>10.22.158.20</t>
        </is>
      </c>
      <c r="C216" s="37" t="n"/>
      <c r="D216" s="37" t="n"/>
      <c r="E216" s="37" t="n"/>
      <c r="F216" s="37" t="n"/>
      <c r="G216" s="37" t="n"/>
      <c r="H216" s="37" t="n">
        <v>215</v>
      </c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</row>
    <row r="217" ht="15" customHeight="1" s="17">
      <c r="A217" s="37" t="inlineStr">
        <is>
          <t>74:83:c2:50:8e:30</t>
        </is>
      </c>
      <c r="B217" s="37" t="inlineStr">
        <is>
          <t>10.22.158.29</t>
        </is>
      </c>
      <c r="C217" s="37" t="n"/>
      <c r="D217" s="37" t="n"/>
      <c r="E217" s="37" t="n"/>
      <c r="F217" s="37" t="n"/>
      <c r="G217" s="37" t="n"/>
      <c r="H217" s="37" t="n">
        <v>216</v>
      </c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</row>
    <row r="218" ht="15" customHeight="1" s="17">
      <c r="A218" s="37" t="inlineStr">
        <is>
          <t>f4:92:bf:ee:77:75</t>
        </is>
      </c>
      <c r="B218" s="37" t="inlineStr">
        <is>
          <t>10.22.158.34</t>
        </is>
      </c>
      <c r="C218" s="37" t="n"/>
      <c r="D218" s="37" t="n"/>
      <c r="E218" s="37" t="n"/>
      <c r="F218" s="37" t="n"/>
      <c r="G218" s="37" t="n"/>
      <c r="H218" s="37" t="n">
        <v>217</v>
      </c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</row>
    <row r="219" ht="15" customHeight="1" s="17">
      <c r="A219" s="37" t="inlineStr">
        <is>
          <t>f4:92:bf:f8:57:61</t>
        </is>
      </c>
      <c r="B219" s="37" t="inlineStr">
        <is>
          <t>10.22.158.35</t>
        </is>
      </c>
      <c r="C219" s="37" t="n"/>
      <c r="D219" s="37" t="n"/>
      <c r="E219" s="37" t="n"/>
      <c r="F219" s="37" t="n"/>
      <c r="G219" s="37" t="n"/>
      <c r="H219" s="37" t="n">
        <v>218</v>
      </c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</row>
    <row r="220" ht="15" customHeight="1" s="17">
      <c r="A220" s="37" t="inlineStr">
        <is>
          <t>60:22:32:d4:71:72</t>
        </is>
      </c>
      <c r="B220" s="37" t="inlineStr">
        <is>
          <t>10.22.158.39</t>
        </is>
      </c>
      <c r="C220" s="37" t="n"/>
      <c r="D220" s="37" t="n"/>
      <c r="E220" s="37" t="n"/>
      <c r="F220" s="37" t="n"/>
      <c r="G220" s="37" t="n"/>
      <c r="H220" s="37" t="n">
        <v>219</v>
      </c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</row>
    <row r="221" ht="15" customHeight="1" s="17">
      <c r="A221" s="37" t="inlineStr">
        <is>
          <t>e0:63:da:4c:26:74</t>
        </is>
      </c>
      <c r="B221" s="37" t="inlineStr">
        <is>
          <t>10.22.158.46</t>
        </is>
      </c>
      <c r="C221" s="37" t="n"/>
      <c r="D221" s="37" t="n"/>
      <c r="E221" s="37" t="n"/>
      <c r="F221" s="37" t="n"/>
      <c r="G221" s="37" t="n"/>
      <c r="H221" s="37" t="n">
        <v>220</v>
      </c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</row>
    <row r="222" ht="15" customHeight="1" s="17">
      <c r="A222" s="37" t="inlineStr">
        <is>
          <t>18:e8:29:86:7e:10</t>
        </is>
      </c>
      <c r="B222" s="37" t="inlineStr">
        <is>
          <t>10.22.158.9</t>
        </is>
      </c>
      <c r="C222" s="37" t="n"/>
      <c r="D222" s="37" t="n"/>
      <c r="E222" s="37" t="n"/>
      <c r="F222" s="37" t="n"/>
      <c r="G222" s="37" t="n"/>
      <c r="H222" s="37" t="n">
        <v>221</v>
      </c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</row>
    <row r="223" ht="15" customHeight="1" s="17">
      <c r="A223" s="37" t="inlineStr">
        <is>
          <t>44:d9:e7:ce:e7:03</t>
        </is>
      </c>
      <c r="B223" s="37" t="inlineStr">
        <is>
          <t>10.22.159.27</t>
        </is>
      </c>
      <c r="C223" s="37" t="n"/>
      <c r="D223" s="37" t="n"/>
      <c r="E223" s="37" t="n"/>
      <c r="F223" s="37" t="n"/>
      <c r="G223" s="37" t="n"/>
      <c r="H223" s="37" t="n">
        <v>222</v>
      </c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</row>
    <row r="224" ht="15" customHeight="1" s="17">
      <c r="A224" s="37" t="inlineStr">
        <is>
          <t>9c:05:d6:8c:49:f5</t>
        </is>
      </c>
      <c r="B224" s="37" t="inlineStr">
        <is>
          <t>10.22.159.4</t>
        </is>
      </c>
      <c r="C224" s="37" t="n"/>
      <c r="D224" s="37" t="n"/>
      <c r="E224" s="37" t="n"/>
      <c r="F224" s="37" t="n"/>
      <c r="G224" s="37" t="n"/>
      <c r="H224" s="37" t="n">
        <v>223</v>
      </c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</row>
    <row r="225" ht="15" customHeight="1" s="17">
      <c r="A225" s="37" t="inlineStr">
        <is>
          <t>68:d7:9a:9e:cb:7f</t>
        </is>
      </c>
      <c r="B225" s="37" t="inlineStr">
        <is>
          <t>10.22.159.6</t>
        </is>
      </c>
      <c r="C225" s="37" t="n"/>
      <c r="D225" s="37" t="n"/>
      <c r="E225" s="37" t="n"/>
      <c r="F225" s="37" t="n"/>
      <c r="G225" s="37" t="n"/>
      <c r="H225" s="37" t="n">
        <v>224</v>
      </c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</row>
    <row r="226" ht="15" customHeight="1" s="17">
      <c r="A226" s="37" t="inlineStr">
        <is>
          <t>f4:e2:c6:92:d0:f7</t>
        </is>
      </c>
      <c r="B226" s="37" t="inlineStr">
        <is>
          <t>10.22.159.62</t>
        </is>
      </c>
      <c r="C226" s="37" t="n"/>
      <c r="D226" s="37" t="n"/>
      <c r="E226" s="37" t="n"/>
      <c r="F226" s="37" t="n"/>
      <c r="G226" s="37" t="n"/>
      <c r="H226" s="37" t="n">
        <v>225</v>
      </c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</row>
    <row r="227" ht="15" customHeight="1" s="17">
      <c r="A227" s="37" t="inlineStr">
        <is>
          <t>9c:05:d6:8c:53:d1</t>
        </is>
      </c>
      <c r="B227" s="37" t="inlineStr">
        <is>
          <t>10.22.159.76</t>
        </is>
      </c>
      <c r="C227" s="37" t="n"/>
      <c r="D227" s="37" t="n"/>
      <c r="E227" s="37" t="n"/>
      <c r="F227" s="37" t="n"/>
      <c r="G227" s="37" t="n"/>
      <c r="H227" s="37" t="n">
        <v>226</v>
      </c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</row>
    <row r="228" ht="15" customHeight="1" s="17">
      <c r="A228" s="37" t="inlineStr">
        <is>
          <t>74:83:c2:50:90:e0</t>
        </is>
      </c>
      <c r="B228" s="37" t="inlineStr">
        <is>
          <t>10.22.159.88</t>
        </is>
      </c>
      <c r="C228" s="37" t="n"/>
      <c r="D228" s="37" t="n"/>
      <c r="E228" s="37" t="n"/>
      <c r="F228" s="37" t="n"/>
      <c r="G228" s="37" t="n"/>
      <c r="H228" s="37" t="n">
        <v>227</v>
      </c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</row>
    <row r="229" ht="15" customHeight="1" s="17">
      <c r="A229" s="37" t="inlineStr">
        <is>
          <t>68:d7:9a:9e:da:36</t>
        </is>
      </c>
      <c r="B229" s="37" t="inlineStr">
        <is>
          <t>10.22.159.9</t>
        </is>
      </c>
      <c r="C229" s="37" t="n"/>
      <c r="D229" s="37" t="n"/>
      <c r="E229" s="37" t="n"/>
      <c r="F229" s="37" t="n"/>
      <c r="G229" s="37" t="n"/>
      <c r="H229" s="37" t="n">
        <v>228</v>
      </c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</row>
    <row r="230" ht="15" customHeight="1" s="17">
      <c r="A230" s="37" t="inlineStr">
        <is>
          <t>28:70:4e:a0:78:93</t>
        </is>
      </c>
      <c r="B230" s="37" t="inlineStr">
        <is>
          <t>10.22.159.90</t>
        </is>
      </c>
      <c r="C230" s="37" t="n"/>
      <c r="D230" s="37" t="n"/>
      <c r="E230" s="37" t="n"/>
      <c r="F230" s="37" t="n"/>
      <c r="G230" s="37" t="n"/>
      <c r="H230" s="37" t="n">
        <v>229</v>
      </c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</row>
    <row r="231" ht="15" customHeight="1" s="17">
      <c r="A231" s="37" t="inlineStr">
        <is>
          <t>9c:05:d6:84:3e:df</t>
        </is>
      </c>
      <c r="B231" s="37" t="inlineStr">
        <is>
          <t>10.22.159.93</t>
        </is>
      </c>
      <c r="C231" s="37" t="n"/>
      <c r="D231" s="37" t="n"/>
      <c r="E231" s="37" t="n"/>
      <c r="F231" s="37" t="n"/>
      <c r="G231" s="37" t="n"/>
      <c r="H231" s="37" t="n">
        <v>230</v>
      </c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</row>
    <row r="232" ht="15" customHeight="1" s="17">
      <c r="A232" s="37" t="inlineStr">
        <is>
          <t>f4:92:bf:f8:75:bf</t>
        </is>
      </c>
      <c r="B232" s="37" t="inlineStr">
        <is>
          <t>10.22.160.27</t>
        </is>
      </c>
      <c r="C232" s="37" t="n"/>
      <c r="D232" s="37" t="n"/>
      <c r="E232" s="37" t="n"/>
      <c r="F232" s="37" t="n"/>
      <c r="G232" s="37" t="n"/>
      <c r="H232" s="37" t="n">
        <v>231</v>
      </c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</row>
    <row r="233" ht="15" customHeight="1" s="17">
      <c r="A233" s="37" t="inlineStr">
        <is>
          <t>18:e8:29:d0:ad:64</t>
        </is>
      </c>
      <c r="B233" s="37" t="inlineStr">
        <is>
          <t>10.22.160.38</t>
        </is>
      </c>
      <c r="C233" s="37" t="n"/>
      <c r="D233" s="37" t="n"/>
      <c r="E233" s="37" t="n"/>
      <c r="F233" s="37" t="n"/>
      <c r="G233" s="37" t="n"/>
      <c r="H233" s="37" t="n">
        <v>232</v>
      </c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</row>
    <row r="234" ht="15" customHeight="1" s="17">
      <c r="A234" s="37" t="inlineStr">
        <is>
          <t>b4:fb:e4:32:c9:65</t>
        </is>
      </c>
      <c r="B234" s="37" t="inlineStr">
        <is>
          <t>10.22.160.45</t>
        </is>
      </c>
      <c r="C234" s="37" t="n"/>
      <c r="D234" s="37" t="n"/>
      <c r="E234" s="37" t="n"/>
      <c r="F234" s="37" t="n"/>
      <c r="G234" s="37" t="n"/>
      <c r="H234" s="37" t="n">
        <v>233</v>
      </c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</row>
    <row r="235" ht="15" customHeight="1" s="17">
      <c r="A235" s="37" t="inlineStr">
        <is>
          <t>e0:63:da:d0:55:ad</t>
        </is>
      </c>
      <c r="B235" s="37" t="inlineStr">
        <is>
          <t>10.22.160.60</t>
        </is>
      </c>
      <c r="C235" s="37" t="n"/>
      <c r="D235" s="37" t="n"/>
      <c r="E235" s="37" t="n"/>
      <c r="F235" s="37" t="n"/>
      <c r="G235" s="37" t="n"/>
      <c r="H235" s="37" t="n">
        <v>234</v>
      </c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</row>
    <row r="236" ht="15" customHeight="1" s="17">
      <c r="A236" s="37" t="inlineStr">
        <is>
          <t>24:a4:3c:ec:57:7d</t>
        </is>
      </c>
      <c r="B236" s="37" t="inlineStr">
        <is>
          <t>10.22.161.19</t>
        </is>
      </c>
      <c r="C236" s="37" t="n"/>
      <c r="D236" s="37" t="n"/>
      <c r="E236" s="37" t="n"/>
      <c r="F236" s="37" t="n"/>
      <c r="G236" s="37" t="n"/>
      <c r="H236" s="37" t="n">
        <v>235</v>
      </c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</row>
    <row r="237" ht="15" customHeight="1" s="17">
      <c r="A237" s="37" t="inlineStr">
        <is>
          <t>60:22:32:ce:48:59</t>
        </is>
      </c>
      <c r="B237" s="37" t="inlineStr">
        <is>
          <t>10.22.161.3</t>
        </is>
      </c>
      <c r="C237" s="37" t="n"/>
      <c r="D237" s="37" t="n"/>
      <c r="E237" s="37" t="n"/>
      <c r="F237" s="37" t="n"/>
      <c r="G237" s="37" t="n"/>
      <c r="H237" s="37" t="n">
        <v>236</v>
      </c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</row>
    <row r="238" ht="15" customHeight="1" s="17">
      <c r="A238" s="37" t="inlineStr">
        <is>
          <t>44:d9:e7:ce:e8:38</t>
        </is>
      </c>
      <c r="B238" s="37" t="inlineStr">
        <is>
          <t>10.22.161.32</t>
        </is>
      </c>
      <c r="C238" s="37" t="n"/>
      <c r="D238" s="37" t="n"/>
      <c r="E238" s="37" t="n"/>
      <c r="F238" s="37" t="n"/>
      <c r="G238" s="37" t="n"/>
      <c r="H238" s="37" t="n">
        <v>237</v>
      </c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</row>
    <row r="239" ht="15" customHeight="1" s="17">
      <c r="A239" s="37" t="inlineStr">
        <is>
          <t>80:2a:a8:0e:a6:17</t>
        </is>
      </c>
      <c r="B239" s="37" t="inlineStr">
        <is>
          <t>10.22.161.36</t>
        </is>
      </c>
      <c r="C239" s="37" t="n"/>
      <c r="D239" s="37" t="n"/>
      <c r="E239" s="37" t="n"/>
      <c r="F239" s="37" t="n"/>
      <c r="G239" s="37" t="n"/>
      <c r="H239" s="37" t="n">
        <v>238</v>
      </c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</row>
    <row r="240" ht="15" customHeight="1" s="17">
      <c r="A240" s="37" t="inlineStr">
        <is>
          <t>44:d9:e7:ce:eb:cc</t>
        </is>
      </c>
      <c r="B240" s="37" t="inlineStr">
        <is>
          <t>10.22.161.4</t>
        </is>
      </c>
      <c r="C240" s="37" t="n"/>
      <c r="D240" s="37" t="n"/>
      <c r="E240" s="37" t="n"/>
      <c r="F240" s="37" t="n"/>
      <c r="G240" s="37" t="n"/>
      <c r="H240" s="37" t="n">
        <v>239</v>
      </c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</row>
    <row r="241" ht="15" customHeight="1" s="17">
      <c r="A241" s="37" t="inlineStr">
        <is>
          <t>18:e8:29:d0:f3:8a</t>
        </is>
      </c>
      <c r="B241" s="37" t="inlineStr">
        <is>
          <t>10.22.167.104</t>
        </is>
      </c>
      <c r="C241" s="37" t="n"/>
      <c r="D241" s="37" t="n"/>
      <c r="E241" s="37" t="n"/>
      <c r="F241" s="37" t="n"/>
      <c r="G241" s="37" t="n"/>
      <c r="H241" s="37" t="n">
        <v>240</v>
      </c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</row>
    <row r="242" ht="15" customHeight="1" s="17">
      <c r="A242" s="37" t="inlineStr">
        <is>
          <t>9c:05:d6:92:1f:0b</t>
        </is>
      </c>
      <c r="B242" s="37" t="inlineStr">
        <is>
          <t>10.22.167.105</t>
        </is>
      </c>
      <c r="C242" s="37" t="n"/>
      <c r="D242" s="37" t="n"/>
      <c r="E242" s="37" t="n"/>
      <c r="F242" s="37" t="n"/>
      <c r="G242" s="37" t="n"/>
      <c r="H242" s="37" t="n">
        <v>241</v>
      </c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</row>
    <row r="243" ht="15" customHeight="1" s="17">
      <c r="A243" s="37" t="inlineStr">
        <is>
          <t>24:a4:3c:ec:61:54</t>
        </is>
      </c>
      <c r="B243" s="37" t="inlineStr">
        <is>
          <t>10.22.167.38</t>
        </is>
      </c>
      <c r="C243" s="37" t="n"/>
      <c r="D243" s="37" t="n"/>
      <c r="E243" s="37" t="n"/>
      <c r="F243" s="37" t="n"/>
      <c r="G243" s="37" t="n"/>
      <c r="H243" s="37" t="n">
        <v>242</v>
      </c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</row>
    <row r="244" ht="15" customHeight="1" s="17">
      <c r="A244" s="37" t="inlineStr">
        <is>
          <t>80:2a:a8:0e:a6:5d</t>
        </is>
      </c>
      <c r="B244" s="37" t="inlineStr">
        <is>
          <t>10.22.167.4</t>
        </is>
      </c>
      <c r="C244" s="37" t="n"/>
      <c r="D244" s="37" t="n"/>
      <c r="E244" s="37" t="n"/>
      <c r="F244" s="37" t="n"/>
      <c r="G244" s="37" t="n"/>
      <c r="H244" s="37" t="n">
        <v>243</v>
      </c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</row>
    <row r="245" ht="15" customHeight="1" s="17">
      <c r="A245" s="37" t="inlineStr">
        <is>
          <t>68:d7:9a:9e:d5:11</t>
        </is>
      </c>
      <c r="B245" s="37" t="inlineStr">
        <is>
          <t>10.22.167.55</t>
        </is>
      </c>
      <c r="C245" s="37" t="n"/>
      <c r="D245" s="37" t="n"/>
      <c r="E245" s="37" t="n"/>
      <c r="F245" s="37" t="n"/>
      <c r="G245" s="37" t="n"/>
      <c r="H245" s="37" t="n">
        <v>244</v>
      </c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</row>
    <row r="246" ht="15" customHeight="1" s="17">
      <c r="A246" s="37" t="inlineStr">
        <is>
          <t>60:22:32:d0:bf:bc</t>
        </is>
      </c>
      <c r="B246" s="37" t="inlineStr">
        <is>
          <t>10.22.168.37</t>
        </is>
      </c>
      <c r="C246" s="37" t="n"/>
      <c r="D246" s="37" t="n"/>
      <c r="E246" s="37" t="n"/>
      <c r="F246" s="37" t="n"/>
      <c r="G246" s="37" t="n"/>
      <c r="H246" s="37" t="n">
        <v>245</v>
      </c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</row>
    <row r="247" ht="15" customHeight="1" s="17">
      <c r="A247" s="37" t="inlineStr">
        <is>
          <t>60:22:32:d8:5d:9b</t>
        </is>
      </c>
      <c r="B247" s="37" t="inlineStr">
        <is>
          <t>10.22.168.39</t>
        </is>
      </c>
      <c r="C247" s="37" t="n"/>
      <c r="D247" s="37" t="n"/>
      <c r="E247" s="37" t="n"/>
      <c r="F247" s="37" t="n"/>
      <c r="G247" s="37" t="n"/>
      <c r="H247" s="37" t="n">
        <v>246</v>
      </c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</row>
    <row r="248" ht="15" customHeight="1" s="17">
      <c r="A248" s="37" t="inlineStr">
        <is>
          <t>e0:63:da:4c:29:1e</t>
        </is>
      </c>
      <c r="B248" s="37" t="inlineStr">
        <is>
          <t>10.22.169.13</t>
        </is>
      </c>
      <c r="C248" s="37" t="n"/>
      <c r="D248" s="37" t="n"/>
      <c r="E248" s="37" t="n"/>
      <c r="F248" s="37" t="n"/>
      <c r="G248" s="37" t="n"/>
      <c r="H248" s="37" t="n">
        <v>247</v>
      </c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</row>
    <row r="249" ht="15" customHeight="1" s="17">
      <c r="A249" s="37" t="inlineStr">
        <is>
          <t>68:d7:9a:a6:ac:c0</t>
        </is>
      </c>
      <c r="B249" s="37" t="inlineStr">
        <is>
          <t>10.22.169.30</t>
        </is>
      </c>
      <c r="C249" s="37" t="n"/>
      <c r="D249" s="37" t="n"/>
      <c r="E249" s="37" t="n"/>
      <c r="F249" s="37" t="n"/>
      <c r="G249" s="37" t="n"/>
      <c r="H249" s="37" t="n">
        <v>248</v>
      </c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</row>
    <row r="250" ht="15" customHeight="1" s="17">
      <c r="A250" s="37" t="inlineStr">
        <is>
          <t>28:70:4e:a2:4d:41</t>
        </is>
      </c>
      <c r="B250" s="37" t="inlineStr">
        <is>
          <t>10.22.169.47</t>
        </is>
      </c>
      <c r="C250" s="37" t="n"/>
      <c r="D250" s="37" t="n"/>
      <c r="E250" s="37" t="n"/>
      <c r="F250" s="37" t="n"/>
      <c r="G250" s="37" t="n"/>
      <c r="H250" s="37" t="n">
        <v>249</v>
      </c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</row>
    <row r="251" ht="15" customHeight="1" s="17">
      <c r="A251" s="37" t="inlineStr">
        <is>
          <t>80:2a:a8:0e:9c:36</t>
        </is>
      </c>
      <c r="B251" s="37" t="inlineStr">
        <is>
          <t>10.22.169.56</t>
        </is>
      </c>
      <c r="C251" s="37" t="n"/>
      <c r="D251" s="37" t="n"/>
      <c r="E251" s="37" t="n"/>
      <c r="F251" s="37" t="n"/>
      <c r="G251" s="37" t="n"/>
      <c r="H251" s="37" t="n">
        <v>250</v>
      </c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</row>
    <row r="252" ht="15" customHeight="1" s="17">
      <c r="A252" s="37" t="inlineStr">
        <is>
          <t>28:70:4e:a0:75:f8</t>
        </is>
      </c>
      <c r="B252" s="37" t="inlineStr">
        <is>
          <t>10.22.169.69</t>
        </is>
      </c>
      <c r="C252" s="37" t="n"/>
      <c r="D252" s="37" t="n"/>
      <c r="E252" s="37" t="n"/>
      <c r="F252" s="37" t="n"/>
      <c r="G252" s="37" t="n"/>
      <c r="H252" s="37" t="n">
        <v>251</v>
      </c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</row>
    <row r="253" ht="15" customHeight="1" s="17">
      <c r="A253" s="37" t="inlineStr">
        <is>
          <t>9c:05:d6:84:35:5d</t>
        </is>
      </c>
      <c r="B253" s="37" t="inlineStr">
        <is>
          <t>10.22.170.13</t>
        </is>
      </c>
      <c r="C253" s="37" t="n"/>
      <c r="D253" s="37" t="n"/>
      <c r="E253" s="37" t="n"/>
      <c r="F253" s="37" t="n"/>
      <c r="G253" s="37" t="n"/>
      <c r="H253" s="37" t="n">
        <v>252</v>
      </c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</row>
    <row r="254" ht="15" customHeight="1" s="17">
      <c r="A254" s="37" t="inlineStr">
        <is>
          <t>44:d9:e7:d2:e5:eb</t>
        </is>
      </c>
      <c r="B254" s="37" t="inlineStr">
        <is>
          <t>10.22.170.2</t>
        </is>
      </c>
      <c r="C254" s="37" t="n"/>
      <c r="D254" s="37" t="n"/>
      <c r="E254" s="37" t="n"/>
      <c r="F254" s="37" t="n"/>
      <c r="G254" s="37" t="n"/>
      <c r="H254" s="37" t="n">
        <v>253</v>
      </c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</row>
    <row r="255" ht="15" customHeight="1" s="17">
      <c r="A255" s="37" t="inlineStr">
        <is>
          <t>18:e8:29:80:f4:cd</t>
        </is>
      </c>
      <c r="B255" s="37" t="inlineStr">
        <is>
          <t>10.22.170.22</t>
        </is>
      </c>
      <c r="C255" s="37" t="n"/>
      <c r="D255" s="37" t="n"/>
      <c r="E255" s="37" t="n"/>
      <c r="F255" s="37" t="n"/>
      <c r="G255" s="37" t="n"/>
      <c r="H255" s="37" t="n">
        <v>254</v>
      </c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</row>
    <row r="256" ht="15" customHeight="1" s="17">
      <c r="A256" s="37" t="inlineStr">
        <is>
          <t>18:e8:29:8e:65:0f</t>
        </is>
      </c>
      <c r="B256" s="37" t="inlineStr">
        <is>
          <t>10.22.170.37</t>
        </is>
      </c>
      <c r="C256" s="37" t="n"/>
      <c r="D256" s="37" t="n"/>
      <c r="E256" s="37" t="n"/>
      <c r="F256" s="37" t="n"/>
      <c r="G256" s="37" t="n"/>
      <c r="H256" s="37" t="n">
        <v>255</v>
      </c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</row>
    <row r="257" ht="15" customHeight="1" s="17">
      <c r="A257" s="37" t="inlineStr">
        <is>
          <t>04:18:d6:ae:65:cf</t>
        </is>
      </c>
      <c r="B257" s="37" t="inlineStr">
        <is>
          <t>10.22.170.40</t>
        </is>
      </c>
      <c r="C257" s="37" t="n"/>
      <c r="D257" s="37" t="n"/>
      <c r="E257" s="37" t="n"/>
      <c r="F257" s="37" t="n"/>
      <c r="G257" s="37" t="n"/>
      <c r="H257" s="37" t="n">
        <v>256</v>
      </c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</row>
    <row r="258" ht="15" customHeight="1" s="17">
      <c r="A258" s="37" t="inlineStr">
        <is>
          <t>74:83:c2:5a:27:74</t>
        </is>
      </c>
      <c r="B258" s="37" t="inlineStr">
        <is>
          <t>10.22.170.42</t>
        </is>
      </c>
      <c r="C258" s="37" t="n"/>
      <c r="D258" s="37" t="n"/>
      <c r="E258" s="37" t="n"/>
      <c r="F258" s="37" t="n"/>
      <c r="G258" s="37" t="n"/>
      <c r="H258" s="37" t="n">
        <v>257</v>
      </c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</row>
    <row r="259" ht="15" customHeight="1" s="17">
      <c r="A259" s="37" t="inlineStr">
        <is>
          <t>04:18:d6:ae:74:3b</t>
        </is>
      </c>
      <c r="B259" s="37" t="inlineStr">
        <is>
          <t>10.22.170.55</t>
        </is>
      </c>
      <c r="C259" s="37" t="n"/>
      <c r="D259" s="37" t="n"/>
      <c r="E259" s="37" t="n"/>
      <c r="F259" s="37" t="n"/>
      <c r="G259" s="37" t="n"/>
      <c r="H259" s="37" t="n">
        <v>258</v>
      </c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</row>
    <row r="260" ht="15" customHeight="1" s="17">
      <c r="A260" s="37" t="inlineStr">
        <is>
          <t>9c:05:d6:86:59:74</t>
        </is>
      </c>
      <c r="B260" s="37" t="inlineStr">
        <is>
          <t>10.22.170.85</t>
        </is>
      </c>
      <c r="C260" s="37" t="n"/>
      <c r="D260" s="37" t="n"/>
      <c r="E260" s="37" t="n"/>
      <c r="F260" s="37" t="n"/>
      <c r="G260" s="37" t="n"/>
      <c r="H260" s="37" t="n">
        <v>259</v>
      </c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</row>
    <row r="261" ht="15" customHeight="1" s="17">
      <c r="A261" s="37" t="inlineStr">
        <is>
          <t>28:70:4e:a0:77:ee</t>
        </is>
      </c>
      <c r="B261" s="37" t="inlineStr">
        <is>
          <t>10.22.171.16</t>
        </is>
      </c>
      <c r="C261" s="37" t="n"/>
      <c r="D261" s="37" t="n"/>
      <c r="E261" s="37" t="n"/>
      <c r="F261" s="37" t="n"/>
      <c r="G261" s="37" t="n"/>
      <c r="H261" s="37" t="n">
        <v>260</v>
      </c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</row>
    <row r="262" ht="15" customHeight="1" s="17">
      <c r="A262" s="37" t="inlineStr">
        <is>
          <t>68:d7:9a:9e:e8:8c</t>
        </is>
      </c>
      <c r="B262" s="37" t="inlineStr">
        <is>
          <t>10.22.171.54</t>
        </is>
      </c>
      <c r="C262" s="37" t="n"/>
      <c r="D262" s="37" t="n"/>
      <c r="E262" s="37" t="n"/>
      <c r="F262" s="37" t="n"/>
      <c r="G262" s="37" t="n"/>
      <c r="H262" s="37" t="n">
        <v>261</v>
      </c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</row>
    <row r="263" ht="15" customHeight="1" s="17">
      <c r="A263" s="37" t="inlineStr">
        <is>
          <t>04:18:d6:ce:6c:9f</t>
        </is>
      </c>
      <c r="B263" s="37" t="inlineStr">
        <is>
          <t>10.22.171.77</t>
        </is>
      </c>
      <c r="C263" s="37" t="n"/>
      <c r="D263" s="37" t="n"/>
      <c r="E263" s="37" t="n"/>
      <c r="F263" s="37" t="n"/>
      <c r="G263" s="37" t="n"/>
      <c r="H263" s="37" t="n">
        <v>262</v>
      </c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</row>
    <row r="264" ht="15" customHeight="1" s="17">
      <c r="A264" s="37" t="inlineStr">
        <is>
          <t>9c:05:d6:8c:71:d6</t>
        </is>
      </c>
      <c r="B264" s="37" t="inlineStr">
        <is>
          <t>10.22.171.9</t>
        </is>
      </c>
      <c r="C264" s="37" t="n"/>
      <c r="D264" s="37" t="n"/>
      <c r="E264" s="37" t="n"/>
      <c r="F264" s="37" t="n"/>
      <c r="G264" s="37" t="n"/>
      <c r="H264" s="37" t="n">
        <v>263</v>
      </c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</row>
    <row r="265" ht="15" customHeight="1" s="17">
      <c r="A265" s="37" t="inlineStr">
        <is>
          <t>f4:92:bf:ee:75:1d</t>
        </is>
      </c>
      <c r="B265" s="37" t="inlineStr">
        <is>
          <t>10.22.172.17</t>
        </is>
      </c>
      <c r="C265" s="37" t="n"/>
      <c r="D265" s="37" t="n"/>
      <c r="E265" s="37" t="n"/>
      <c r="F265" s="37" t="n"/>
      <c r="G265" s="37" t="n"/>
      <c r="H265" s="37" t="n">
        <v>264</v>
      </c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</row>
    <row r="266" ht="15" customHeight="1" s="17">
      <c r="A266" s="37" t="inlineStr">
        <is>
          <t>04:18:d6:f2:d0:b3</t>
        </is>
      </c>
      <c r="B266" s="37" t="inlineStr">
        <is>
          <t>10.22.172.18</t>
        </is>
      </c>
      <c r="C266" s="37" t="n"/>
      <c r="D266" s="37" t="n"/>
      <c r="E266" s="37" t="n"/>
      <c r="F266" s="37" t="n"/>
      <c r="G266" s="37" t="n"/>
      <c r="H266" s="37" t="n">
        <v>265</v>
      </c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</row>
    <row r="267" ht="15" customHeight="1" s="17">
      <c r="A267" s="37" t="inlineStr">
        <is>
          <t>18:e8:29:8e:69:1b</t>
        </is>
      </c>
      <c r="B267" s="37" t="inlineStr">
        <is>
          <t>10.22.172.20</t>
        </is>
      </c>
      <c r="C267" s="37" t="n"/>
      <c r="D267" s="37" t="n"/>
      <c r="E267" s="37" t="n"/>
      <c r="F267" s="37" t="n"/>
      <c r="G267" s="37" t="n"/>
      <c r="H267" s="37" t="n">
        <v>266</v>
      </c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</row>
    <row r="268" ht="15" customHeight="1" s="17">
      <c r="A268" s="37" t="inlineStr">
        <is>
          <t>f4:92:bf:f8:67:2b</t>
        </is>
      </c>
      <c r="B268" s="37" t="inlineStr">
        <is>
          <t>10.22.172.36</t>
        </is>
      </c>
      <c r="C268" s="37" t="n"/>
      <c r="D268" s="37" t="n"/>
      <c r="E268" s="37" t="n"/>
      <c r="F268" s="37" t="n"/>
      <c r="G268" s="37" t="n"/>
      <c r="H268" s="37" t="n">
        <v>267</v>
      </c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</row>
    <row r="269" ht="15" customHeight="1" s="17">
      <c r="A269" s="37" t="inlineStr">
        <is>
          <t>9c:05:d6:84:30:38</t>
        </is>
      </c>
      <c r="B269" s="37" t="inlineStr">
        <is>
          <t>10.22.172.61</t>
        </is>
      </c>
      <c r="C269" s="37" t="n"/>
      <c r="D269" s="37" t="n"/>
      <c r="E269" s="37" t="n"/>
      <c r="F269" s="37" t="n"/>
      <c r="G269" s="37" t="n"/>
      <c r="H269" s="37" t="n">
        <v>268</v>
      </c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</row>
    <row r="270" ht="15" customHeight="1" s="17">
      <c r="A270" s="20" t="inlineStr">
        <is>
          <t>18:e8:29:88:35:24</t>
        </is>
      </c>
      <c r="B270" s="20" t="inlineStr">
        <is>
          <t>10.22.172.8</t>
        </is>
      </c>
      <c r="H270" t="n">
        <v>269</v>
      </c>
    </row>
    <row r="271" ht="15" customHeight="1" s="17">
      <c r="A271" s="20" t="inlineStr">
        <is>
          <t>18:e8:29:da:7f:db</t>
        </is>
      </c>
      <c r="B271" s="20" t="inlineStr">
        <is>
          <t>10.22.173.27</t>
        </is>
      </c>
      <c r="H271" t="n">
        <v>270</v>
      </c>
    </row>
    <row r="272" ht="15" customHeight="1" s="17">
      <c r="A272" s="20" t="inlineStr">
        <is>
          <t>e0:63:da:f2:7d:d8</t>
        </is>
      </c>
      <c r="B272" s="20" t="inlineStr">
        <is>
          <t>10.22.173.36</t>
        </is>
      </c>
      <c r="H272" t="n">
        <v>271</v>
      </c>
    </row>
    <row r="273" ht="15" customHeight="1" s="17">
      <c r="A273" s="20" t="inlineStr">
        <is>
          <t>f4:e2:c6:88:22:dd</t>
        </is>
      </c>
      <c r="B273" s="20" t="inlineStr">
        <is>
          <t>10.22.173.39</t>
        </is>
      </c>
      <c r="H273" t="n">
        <v>272</v>
      </c>
    </row>
    <row r="274" ht="15" customHeight="1" s="17">
      <c r="A274" s="20" t="inlineStr">
        <is>
          <t>9c:05:d6:84:62:38</t>
        </is>
      </c>
      <c r="B274" s="20" t="inlineStr">
        <is>
          <t>10.22.173.41</t>
        </is>
      </c>
      <c r="H274" t="n">
        <v>273</v>
      </c>
    </row>
    <row r="275" ht="15" customHeight="1" s="17">
      <c r="A275" s="20" t="inlineStr">
        <is>
          <t>f4:92:bf:f8:77:86</t>
        </is>
      </c>
      <c r="B275" s="20" t="inlineStr">
        <is>
          <t>10.22.173.44</t>
        </is>
      </c>
      <c r="H275" t="n">
        <v>274</v>
      </c>
    </row>
    <row r="276" ht="15" customHeight="1" s="17">
      <c r="A276" s="20" t="inlineStr">
        <is>
          <t>9c:05:d6:84:5a:d7</t>
        </is>
      </c>
      <c r="B276" s="20" t="inlineStr">
        <is>
          <t>10.22.173.48</t>
        </is>
      </c>
      <c r="H276" t="n">
        <v>275</v>
      </c>
    </row>
    <row r="277" ht="15" customHeight="1" s="17">
      <c r="A277" s="20" t="inlineStr">
        <is>
          <t>28:70:4e:a0:78:a6</t>
        </is>
      </c>
      <c r="B277" s="20" t="inlineStr">
        <is>
          <t>10.22.173.74</t>
        </is>
      </c>
      <c r="H277" t="n">
        <v>276</v>
      </c>
    </row>
    <row r="278" ht="15" customHeight="1" s="17">
      <c r="A278" s="20" t="inlineStr">
        <is>
          <t>44:d9:e7:0a:ec:2e</t>
        </is>
      </c>
      <c r="B278" s="20" t="inlineStr">
        <is>
          <t>10.22.174.112</t>
        </is>
      </c>
      <c r="H278" t="n">
        <v>277</v>
      </c>
    </row>
    <row r="279" ht="15" customHeight="1" s="17">
      <c r="A279" s="20" t="inlineStr">
        <is>
          <t>44:d9:e7:2a:af:e1</t>
        </is>
      </c>
      <c r="B279" s="20" t="inlineStr">
        <is>
          <t>10.22.174.114</t>
        </is>
      </c>
      <c r="H279" t="n">
        <v>278</v>
      </c>
    </row>
    <row r="280" ht="15" customHeight="1" s="17">
      <c r="A280" s="20" t="inlineStr">
        <is>
          <t>e0:63:da:dc:72:10</t>
        </is>
      </c>
      <c r="B280" s="20" t="inlineStr">
        <is>
          <t>10.22.174.115</t>
        </is>
      </c>
      <c r="H280" t="n">
        <v>279</v>
      </c>
    </row>
    <row r="281" ht="15" customHeight="1" s="17">
      <c r="A281" s="20" t="inlineStr">
        <is>
          <t>68:d7:9a:aa:c8:f2</t>
        </is>
      </c>
      <c r="B281" s="20" t="inlineStr">
        <is>
          <t>10.22.174.117</t>
        </is>
      </c>
      <c r="H281" t="n">
        <v>280</v>
      </c>
    </row>
    <row r="282" ht="15" customHeight="1" s="17">
      <c r="A282" s="20" t="inlineStr">
        <is>
          <t>04:18:d6:54:d2:d0</t>
        </is>
      </c>
      <c r="B282" s="20" t="inlineStr">
        <is>
          <t>10.22.174.118</t>
        </is>
      </c>
      <c r="H282" t="n">
        <v>281</v>
      </c>
    </row>
    <row r="283" ht="15" customHeight="1" s="17">
      <c r="A283" s="20" t="inlineStr">
        <is>
          <t>fc:ec:da:2a:c8:ed</t>
        </is>
      </c>
      <c r="B283" s="20" t="inlineStr">
        <is>
          <t>10.22.174.141</t>
        </is>
      </c>
      <c r="H283" t="n">
        <v>282</v>
      </c>
    </row>
    <row r="284" ht="15" customHeight="1" s="17">
      <c r="A284" s="20" t="inlineStr">
        <is>
          <t>74:83:c2:5a:5f:1f</t>
        </is>
      </c>
      <c r="B284" s="20" t="inlineStr">
        <is>
          <t>10.22.174.155</t>
        </is>
      </c>
      <c r="H284" t="n">
        <v>283</v>
      </c>
    </row>
    <row r="285" ht="15" customHeight="1" s="17">
      <c r="A285" s="20" t="inlineStr">
        <is>
          <t>60:22:32:d0:91:c9</t>
        </is>
      </c>
      <c r="B285" s="20" t="inlineStr">
        <is>
          <t>10.22.174.163</t>
        </is>
      </c>
      <c r="H285" t="n">
        <v>284</v>
      </c>
    </row>
    <row r="286" ht="15" customHeight="1" s="17">
      <c r="A286" s="20" t="inlineStr">
        <is>
          <t>e0:63:da:4a:42:6d</t>
        </is>
      </c>
      <c r="B286" s="20" t="inlineStr">
        <is>
          <t>10.22.174.175</t>
        </is>
      </c>
      <c r="H286" t="n">
        <v>285</v>
      </c>
    </row>
    <row r="287" ht="15" customHeight="1" s="17">
      <c r="A287" s="20" t="inlineStr">
        <is>
          <t>9c:05:d6:8c:6f:9c</t>
        </is>
      </c>
      <c r="B287" s="20" t="inlineStr">
        <is>
          <t>10.22.174.208</t>
        </is>
      </c>
      <c r="H287" t="n">
        <v>286</v>
      </c>
    </row>
    <row r="288" ht="15" customHeight="1" s="17">
      <c r="A288" s="20" t="inlineStr">
        <is>
          <t>44:d9:e7:0c:05:aa</t>
        </is>
      </c>
      <c r="B288" s="20" t="inlineStr">
        <is>
          <t>10.22.174.29</t>
        </is>
      </c>
      <c r="H288" t="n">
        <v>287</v>
      </c>
    </row>
    <row r="289" ht="15" customHeight="1" s="17">
      <c r="A289" s="20" t="inlineStr">
        <is>
          <t>68:d7:9a:9e:ce:9b</t>
        </is>
      </c>
      <c r="B289" s="20" t="inlineStr">
        <is>
          <t>10.22.174.38</t>
        </is>
      </c>
      <c r="H289" t="n">
        <v>288</v>
      </c>
    </row>
    <row r="290" ht="15" customHeight="1" s="17">
      <c r="A290" s="20" t="inlineStr">
        <is>
          <t>e0:63:da:48:6b:39</t>
        </is>
      </c>
      <c r="B290" s="20" t="inlineStr">
        <is>
          <t>10.22.174.5</t>
        </is>
      </c>
      <c r="H290" t="n">
        <v>289</v>
      </c>
    </row>
    <row r="291" ht="15" customHeight="1" s="17">
      <c r="A291" s="20" t="inlineStr">
        <is>
          <t>68:d7:9a:9e:ea:ec</t>
        </is>
      </c>
      <c r="B291" s="20" t="inlineStr">
        <is>
          <t>10.22.174.84</t>
        </is>
      </c>
      <c r="H291" t="n">
        <v>290</v>
      </c>
    </row>
    <row r="292" ht="15" customHeight="1" s="17">
      <c r="A292" s="20" t="inlineStr">
        <is>
          <t>9c:05:d6:84:5b:be</t>
        </is>
      </c>
      <c r="B292" s="20" t="inlineStr">
        <is>
          <t>10.22.175.10</t>
        </is>
      </c>
      <c r="H292" t="n">
        <v>291</v>
      </c>
    </row>
    <row r="293" ht="15" customHeight="1" s="17">
      <c r="A293" s="20" t="inlineStr">
        <is>
          <t>18:e8:29:d8:de:dd</t>
        </is>
      </c>
      <c r="B293" s="20" t="inlineStr">
        <is>
          <t>10.22.175.104</t>
        </is>
      </c>
      <c r="H293" t="n">
        <v>292</v>
      </c>
    </row>
    <row r="294" ht="15" customHeight="1" s="17">
      <c r="A294" s="20" t="inlineStr">
        <is>
          <t>f0:9f:c2:88:e7:84</t>
        </is>
      </c>
      <c r="B294" s="20" t="inlineStr">
        <is>
          <t>10.22.175.107</t>
        </is>
      </c>
      <c r="H294" t="n">
        <v>293</v>
      </c>
    </row>
    <row r="295" ht="15" customHeight="1" s="17">
      <c r="A295" s="20" t="inlineStr">
        <is>
          <t>74:83:c2:50:20:1f</t>
        </is>
      </c>
      <c r="B295" s="20" t="inlineStr">
        <is>
          <t>10.22.175.11</t>
        </is>
      </c>
      <c r="H295" t="n">
        <v>294</v>
      </c>
    </row>
    <row r="296" ht="15" customHeight="1" s="17">
      <c r="A296" s="20" t="inlineStr">
        <is>
          <t>e4:38:83:bc:04:0e</t>
        </is>
      </c>
      <c r="B296" s="20" t="inlineStr">
        <is>
          <t>10.22.175.117</t>
        </is>
      </c>
      <c r="H296" t="n">
        <v>295</v>
      </c>
    </row>
    <row r="297" ht="15" customHeight="1" s="17">
      <c r="A297" s="20" t="inlineStr">
        <is>
          <t>28:70:4e:ba:e4:e4</t>
        </is>
      </c>
      <c r="B297" s="20" t="inlineStr">
        <is>
          <t>10.22.175.43</t>
        </is>
      </c>
      <c r="H297" t="n">
        <v>296</v>
      </c>
    </row>
    <row r="298" ht="15" customHeight="1" s="17">
      <c r="A298" s="20" t="inlineStr">
        <is>
          <t>e0:63:da:4c:20:a3</t>
        </is>
      </c>
      <c r="B298" s="20" t="inlineStr">
        <is>
          <t>10.22.175.48</t>
        </is>
      </c>
      <c r="H298" t="n">
        <v>297</v>
      </c>
    </row>
    <row r="299" ht="15" customHeight="1" s="17">
      <c r="A299" s="20" t="inlineStr">
        <is>
          <t>b4:fb:e4:58:58:1e</t>
        </is>
      </c>
      <c r="B299" s="20" t="inlineStr">
        <is>
          <t>10.22.175.64</t>
        </is>
      </c>
      <c r="H299" t="n">
        <v>298</v>
      </c>
    </row>
    <row r="300" ht="15" customHeight="1" s="17">
      <c r="A300" s="20" t="inlineStr">
        <is>
          <t>60:22:32:d8:5f:7a</t>
        </is>
      </c>
      <c r="B300" s="20" t="inlineStr">
        <is>
          <t>10.22.175.67</t>
        </is>
      </c>
      <c r="H300" t="n">
        <v>299</v>
      </c>
    </row>
    <row r="301" ht="15" customHeight="1" s="17">
      <c r="A301" s="20" t="inlineStr">
        <is>
          <t>f4:92:bf:f0:87:6d</t>
        </is>
      </c>
      <c r="B301" s="20" t="inlineStr">
        <is>
          <t>10.22.175.84</t>
        </is>
      </c>
      <c r="H301" t="n">
        <v>300</v>
      </c>
    </row>
    <row r="302" ht="15" customHeight="1" s="17">
      <c r="A302" s="20" t="inlineStr">
        <is>
          <t>f4:92:bf:f8:7c:59</t>
        </is>
      </c>
      <c r="B302" s="20" t="inlineStr">
        <is>
          <t>10.22.175.88</t>
        </is>
      </c>
      <c r="H302" t="n">
        <v>301</v>
      </c>
    </row>
    <row r="303" ht="15" customHeight="1" s="17">
      <c r="A303" s="20" t="inlineStr">
        <is>
          <t>f4:e2:c6:88:22:d4</t>
        </is>
      </c>
      <c r="B303" s="20" t="inlineStr">
        <is>
          <t>10.22.176.104</t>
        </is>
      </c>
      <c r="H303" t="n">
        <v>302</v>
      </c>
    </row>
    <row r="304" ht="15" customHeight="1" s="17">
      <c r="A304" s="20" t="inlineStr">
        <is>
          <t>f4:92:bf:f0:62:96</t>
        </is>
      </c>
      <c r="B304" s="20" t="inlineStr">
        <is>
          <t>10.22.176.114</t>
        </is>
      </c>
      <c r="H304" t="n">
        <v>303</v>
      </c>
    </row>
    <row r="305" ht="15" customHeight="1" s="17">
      <c r="A305" s="20" t="inlineStr">
        <is>
          <t>fc:ec:da:2c:1b:34</t>
        </is>
      </c>
      <c r="B305" s="20" t="inlineStr">
        <is>
          <t>10.22.176.14</t>
        </is>
      </c>
      <c r="H305" t="n">
        <v>304</v>
      </c>
    </row>
    <row r="306" ht="15" customHeight="1" s="17">
      <c r="A306" s="20" t="inlineStr">
        <is>
          <t>74:83:c2:5c:36:b1</t>
        </is>
      </c>
      <c r="B306" s="20" t="inlineStr">
        <is>
          <t>10.22.176.142</t>
        </is>
      </c>
      <c r="H306" t="n">
        <v>305</v>
      </c>
    </row>
    <row r="307" ht="15" customHeight="1" s="17">
      <c r="A307" s="20" t="inlineStr">
        <is>
          <t>04:18:d6:ce:84:fd</t>
        </is>
      </c>
      <c r="B307" s="20" t="inlineStr">
        <is>
          <t>10.22.176.147</t>
        </is>
      </c>
      <c r="H307" t="n">
        <v>306</v>
      </c>
    </row>
    <row r="308" ht="15" customHeight="1" s="17">
      <c r="A308" s="20" t="inlineStr">
        <is>
          <t>f4:92:bf:f8:68:01</t>
        </is>
      </c>
      <c r="B308" s="20" t="inlineStr">
        <is>
          <t>10.22.176.156</t>
        </is>
      </c>
      <c r="H308" t="n">
        <v>307</v>
      </c>
    </row>
    <row r="309" ht="15" customHeight="1" s="17">
      <c r="A309" s="20" t="inlineStr">
        <is>
          <t>74:83:c2:50:10:f2</t>
        </is>
      </c>
      <c r="B309" s="20" t="inlineStr">
        <is>
          <t>10.22.176.17</t>
        </is>
      </c>
      <c r="H309" t="n">
        <v>308</v>
      </c>
    </row>
    <row r="310" ht="15" customHeight="1" s="17">
      <c r="A310" s="20" t="inlineStr">
        <is>
          <t>60:22:32:ce:79:30</t>
        </is>
      </c>
      <c r="B310" s="20" t="inlineStr">
        <is>
          <t>10.22.176.175</t>
        </is>
      </c>
      <c r="H310" t="n">
        <v>309</v>
      </c>
    </row>
    <row r="311" ht="15" customHeight="1" s="17">
      <c r="A311" s="20" t="inlineStr">
        <is>
          <t>60:22:32:ce:79:d1</t>
        </is>
      </c>
      <c r="B311" s="20" t="inlineStr">
        <is>
          <t>10.22.176.201</t>
        </is>
      </c>
      <c r="H311" t="n">
        <v>310</v>
      </c>
    </row>
    <row r="312" ht="15" customHeight="1" s="17">
      <c r="A312" s="20" t="inlineStr">
        <is>
          <t>9c:05:d6:8c:4b:7e</t>
        </is>
      </c>
      <c r="B312" s="20" t="inlineStr">
        <is>
          <t>10.22.176.202</t>
        </is>
      </c>
      <c r="H312" t="n">
        <v>311</v>
      </c>
    </row>
    <row r="313" ht="15" customHeight="1" s="17">
      <c r="A313" s="20" t="inlineStr">
        <is>
          <t>fc:ec:da:2a:c9:b9</t>
        </is>
      </c>
      <c r="B313" s="20" t="inlineStr">
        <is>
          <t>10.22.176.205</t>
        </is>
      </c>
      <c r="H313" t="n">
        <v>312</v>
      </c>
    </row>
    <row r="314" ht="15" customHeight="1" s="17">
      <c r="A314" s="20" t="inlineStr">
        <is>
          <t>f4:e2:c6:88:21:60</t>
        </is>
      </c>
      <c r="B314" s="20" t="inlineStr">
        <is>
          <t>10.22.176.213</t>
        </is>
      </c>
      <c r="H314" t="n">
        <v>313</v>
      </c>
    </row>
    <row r="315" ht="15" customHeight="1" s="17">
      <c r="A315" s="20" t="inlineStr">
        <is>
          <t>24:5a:4c:c4:66:c3</t>
        </is>
      </c>
      <c r="B315" s="20" t="inlineStr">
        <is>
          <t>10.22.176.217</t>
        </is>
      </c>
      <c r="H315" t="n">
        <v>314</v>
      </c>
    </row>
    <row r="316" ht="15" customHeight="1" s="17">
      <c r="A316" s="20" t="inlineStr">
        <is>
          <t>f4:92:bf:f8:53:29</t>
        </is>
      </c>
      <c r="B316" s="20" t="inlineStr">
        <is>
          <t>10.22.176.219</t>
        </is>
      </c>
      <c r="H316" t="n">
        <v>315</v>
      </c>
    </row>
    <row r="317" ht="15" customHeight="1" s="17">
      <c r="A317" s="20" t="inlineStr">
        <is>
          <t>18:e8:29:d0:ce:99</t>
        </is>
      </c>
      <c r="B317" s="20" t="inlineStr">
        <is>
          <t>10.22.176.229</t>
        </is>
      </c>
      <c r="H317" t="n">
        <v>316</v>
      </c>
    </row>
    <row r="318" ht="15" customHeight="1" s="17">
      <c r="A318" s="20" t="inlineStr">
        <is>
          <t>28:70:4e:a0:75:50</t>
        </is>
      </c>
      <c r="B318" s="20" t="inlineStr">
        <is>
          <t>10.22.176.243</t>
        </is>
      </c>
      <c r="H318" t="n">
        <v>317</v>
      </c>
    </row>
    <row r="319" ht="15" customHeight="1" s="17">
      <c r="A319" s="20" t="inlineStr">
        <is>
          <t>f0:9f:c2:58:4b:b6</t>
        </is>
      </c>
      <c r="B319" s="20" t="inlineStr">
        <is>
          <t>10.22.176.63</t>
        </is>
      </c>
      <c r="H319" t="n">
        <v>318</v>
      </c>
    </row>
    <row r="320" ht="15" customHeight="1" s="17">
      <c r="A320" s="20" t="inlineStr">
        <is>
          <t>24:a4:3c:ec:61:a0</t>
        </is>
      </c>
      <c r="B320" s="20" t="inlineStr">
        <is>
          <t>10.22.176.90</t>
        </is>
      </c>
      <c r="H320" t="n">
        <v>319</v>
      </c>
    </row>
    <row r="321" ht="15" customHeight="1" s="17">
      <c r="A321" s="20" t="inlineStr">
        <is>
          <t>44:d9:e7:2a:97:1e</t>
        </is>
      </c>
      <c r="B321" s="20" t="inlineStr">
        <is>
          <t>10.22.178.2</t>
        </is>
      </c>
      <c r="H321" t="n">
        <v>320</v>
      </c>
    </row>
    <row r="322" ht="15" customHeight="1" s="17">
      <c r="A322" s="20" t="inlineStr">
        <is>
          <t>9c:05:d6:84:5c:22</t>
        </is>
      </c>
      <c r="B322" s="20" t="inlineStr">
        <is>
          <t>10.22.178.28</t>
        </is>
      </c>
      <c r="H322" t="n">
        <v>321</v>
      </c>
    </row>
    <row r="323" ht="15" customHeight="1" s="17">
      <c r="A323" s="20" t="inlineStr">
        <is>
          <t>9c:05:d6:84:5c:07</t>
        </is>
      </c>
      <c r="B323" s="20" t="inlineStr">
        <is>
          <t>10.22.178.32</t>
        </is>
      </c>
      <c r="H323" t="n">
        <v>322</v>
      </c>
    </row>
    <row r="324" ht="15" customHeight="1" s="17">
      <c r="A324" s="20" t="inlineStr">
        <is>
          <t>9c:05:d6:8c:58:c8</t>
        </is>
      </c>
      <c r="B324" s="20" t="inlineStr">
        <is>
          <t>10.22.178.37</t>
        </is>
      </c>
      <c r="H324" t="n">
        <v>323</v>
      </c>
    </row>
    <row r="325" ht="15" customHeight="1" s="17">
      <c r="A325" s="20" t="inlineStr">
        <is>
          <t>f4:92:bf:f8:65:5f</t>
        </is>
      </c>
      <c r="B325" s="20" t="inlineStr">
        <is>
          <t>10.22.178.42</t>
        </is>
      </c>
      <c r="H325" t="n">
        <v>324</v>
      </c>
    </row>
    <row r="326" ht="15" customHeight="1" s="17">
      <c r="A326" s="20" t="inlineStr">
        <is>
          <t>1c:6a:1b:c0:c8:5d</t>
        </is>
      </c>
      <c r="B326" s="20" t="inlineStr">
        <is>
          <t>10.22.178.71</t>
        </is>
      </c>
      <c r="H326" t="n">
        <v>325</v>
      </c>
    </row>
    <row r="327" ht="15" customHeight="1" s="17">
      <c r="A327" s="20" t="inlineStr">
        <is>
          <t>9c:05:d6:8c:58:93</t>
        </is>
      </c>
      <c r="B327" s="20" t="inlineStr">
        <is>
          <t>10.22.179.3</t>
        </is>
      </c>
      <c r="H327" t="n">
        <v>326</v>
      </c>
    </row>
    <row r="328" ht="15" customHeight="1" s="17">
      <c r="A328" s="20" t="inlineStr">
        <is>
          <t>68:d7:9a:9e:cb:9e</t>
        </is>
      </c>
      <c r="B328" s="20" t="inlineStr">
        <is>
          <t>10.22.183.24</t>
        </is>
      </c>
      <c r="H328" t="n">
        <v>327</v>
      </c>
    </row>
    <row r="329" ht="15" customHeight="1" s="17">
      <c r="A329" s="20" t="inlineStr">
        <is>
          <t>e0:63:da:4c:23:71</t>
        </is>
      </c>
      <c r="B329" s="20" t="inlineStr">
        <is>
          <t>10.22.183.4</t>
        </is>
      </c>
      <c r="H329" t="n">
        <v>328</v>
      </c>
    </row>
    <row r="330" ht="15" customHeight="1" s="17">
      <c r="A330" s="20" t="inlineStr">
        <is>
          <t>f4:e2:c6:88:22:d1</t>
        </is>
      </c>
      <c r="B330" s="20" t="inlineStr">
        <is>
          <t>10.22.184.100</t>
        </is>
      </c>
      <c r="H330" t="n">
        <v>329</v>
      </c>
    </row>
    <row r="331" ht="15" customHeight="1" s="17">
      <c r="A331" s="20" t="inlineStr">
        <is>
          <t>74:83:c2:50:99:ad</t>
        </is>
      </c>
      <c r="B331" s="20" t="inlineStr">
        <is>
          <t>10.22.184.12</t>
        </is>
      </c>
      <c r="H331" t="n">
        <v>330</v>
      </c>
    </row>
    <row r="332" ht="15" customHeight="1" s="17">
      <c r="A332" s="20" t="inlineStr">
        <is>
          <t>fc:ec:da:2a:d0:98</t>
        </is>
      </c>
      <c r="B332" s="20" t="inlineStr">
        <is>
          <t>10.22.184.124</t>
        </is>
      </c>
      <c r="H332" t="n">
        <v>331</v>
      </c>
    </row>
    <row r="333" ht="15" customHeight="1" s="17">
      <c r="A333" s="20" t="inlineStr">
        <is>
          <t>fc:ec:da:2a:e6:1b</t>
        </is>
      </c>
      <c r="B333" s="20" t="inlineStr">
        <is>
          <t>10.22.184.130</t>
        </is>
      </c>
      <c r="H333" t="n">
        <v>332</v>
      </c>
    </row>
    <row r="334" ht="15" customHeight="1" s="17">
      <c r="A334" s="20" t="inlineStr">
        <is>
          <t>60:22:32:d0:c6:7f</t>
        </is>
      </c>
      <c r="B334" s="20" t="inlineStr">
        <is>
          <t>10.22.184.145</t>
        </is>
      </c>
      <c r="H334" t="n">
        <v>333</v>
      </c>
    </row>
    <row r="335" ht="15" customHeight="1" s="17">
      <c r="A335" s="20" t="inlineStr">
        <is>
          <t>e0:63:da:f0:a7:db</t>
        </is>
      </c>
      <c r="B335" s="20" t="inlineStr">
        <is>
          <t>10.22.184.31</t>
        </is>
      </c>
      <c r="H335" t="n">
        <v>334</v>
      </c>
    </row>
    <row r="336" ht="15" customHeight="1" s="17">
      <c r="A336" s="20" t="inlineStr">
        <is>
          <t>68:d7:9a:aa:c5:7f</t>
        </is>
      </c>
      <c r="B336" s="20" t="inlineStr">
        <is>
          <t>10.22.184.41</t>
        </is>
      </c>
      <c r="H336" t="n">
        <v>335</v>
      </c>
    </row>
    <row r="337" ht="15" customHeight="1" s="17">
      <c r="A337" s="20" t="inlineStr">
        <is>
          <t>28:70:4e:a0:73:e3</t>
        </is>
      </c>
      <c r="B337" s="20" t="inlineStr">
        <is>
          <t>10.22.184.44</t>
        </is>
      </c>
      <c r="H337" t="n">
        <v>336</v>
      </c>
    </row>
    <row r="338" ht="15" customHeight="1" s="17">
      <c r="A338" s="20" t="inlineStr">
        <is>
          <t>18:e8:29:d0:e5:db</t>
        </is>
      </c>
      <c r="B338" s="20" t="inlineStr">
        <is>
          <t>10.22.184.57</t>
        </is>
      </c>
      <c r="H338" t="n">
        <v>337</v>
      </c>
    </row>
    <row r="339" ht="15" customHeight="1" s="17">
      <c r="A339" s="20" t="inlineStr">
        <is>
          <t>60:22:32:ce:94:b2</t>
        </is>
      </c>
      <c r="B339" s="20" t="inlineStr">
        <is>
          <t>10.22.184.72</t>
        </is>
      </c>
      <c r="H339" t="n">
        <v>338</v>
      </c>
    </row>
    <row r="340" ht="15" customHeight="1" s="17">
      <c r="A340" s="20" t="inlineStr">
        <is>
          <t>18:e8:29:d0:c8:6f</t>
        </is>
      </c>
      <c r="B340" s="20" t="inlineStr">
        <is>
          <t>10.22.184.87</t>
        </is>
      </c>
      <c r="H340" t="n">
        <v>339</v>
      </c>
    </row>
    <row r="341" ht="15" customHeight="1" s="17">
      <c r="A341" s="20" t="inlineStr">
        <is>
          <t>60:22:32:d8:57:19</t>
        </is>
      </c>
      <c r="B341" s="20" t="inlineStr">
        <is>
          <t>10.22.184.95</t>
        </is>
      </c>
      <c r="H341" t="n">
        <v>340</v>
      </c>
    </row>
    <row r="342" ht="15" customHeight="1" s="17">
      <c r="A342" s="20" t="inlineStr">
        <is>
          <t>60:22:32:d0:92:7a</t>
        </is>
      </c>
      <c r="B342" s="20" t="inlineStr">
        <is>
          <t>10.22.185.113</t>
        </is>
      </c>
      <c r="H342" t="n">
        <v>341</v>
      </c>
    </row>
    <row r="343" ht="15" customHeight="1" s="17">
      <c r="A343" s="20" t="inlineStr">
        <is>
          <t>18:e8:29:d0:8a:8f</t>
        </is>
      </c>
      <c r="B343" s="20" t="inlineStr">
        <is>
          <t>10.22.185.114</t>
        </is>
      </c>
      <c r="H343" t="n">
        <v>342</v>
      </c>
    </row>
    <row r="344" ht="15" customHeight="1" s="17">
      <c r="A344" s="20" t="inlineStr">
        <is>
          <t>44:d9:e7:2a:44:67</t>
        </is>
      </c>
      <c r="B344" s="20" t="inlineStr">
        <is>
          <t>10.22.185.127</t>
        </is>
      </c>
      <c r="H344" t="n">
        <v>343</v>
      </c>
    </row>
    <row r="345" ht="15" customHeight="1" s="17">
      <c r="A345" s="20" t="inlineStr">
        <is>
          <t>60:22:32:ce:76:b2</t>
        </is>
      </c>
      <c r="B345" s="20" t="inlineStr">
        <is>
          <t>10.22.185.139</t>
        </is>
      </c>
      <c r="H345" t="n">
        <v>344</v>
      </c>
    </row>
    <row r="346" ht="15" customHeight="1" s="17">
      <c r="A346" s="20" t="inlineStr">
        <is>
          <t>44:d9:e7:2a:28:1a</t>
        </is>
      </c>
      <c r="B346" s="20" t="inlineStr">
        <is>
          <t>10.22.185.4</t>
        </is>
      </c>
      <c r="H346" t="n">
        <v>345</v>
      </c>
    </row>
    <row r="347" ht="15" customHeight="1" s="17">
      <c r="A347" s="20" t="inlineStr">
        <is>
          <t>78:8a:20:e6:17:a9</t>
        </is>
      </c>
      <c r="B347" s="20" t="inlineStr">
        <is>
          <t>10.22.185.45</t>
        </is>
      </c>
      <c r="H347" t="n">
        <v>346</v>
      </c>
    </row>
    <row r="348" ht="15" customHeight="1" s="17">
      <c r="A348" s="20" t="inlineStr">
        <is>
          <t>f4:92:bf:f8:54:fa</t>
        </is>
      </c>
      <c r="B348" s="20" t="inlineStr">
        <is>
          <t>10.22.185.70</t>
        </is>
      </c>
      <c r="H348" t="n">
        <v>347</v>
      </c>
    </row>
    <row r="349" ht="15" customHeight="1" s="17">
      <c r="A349" s="20" t="inlineStr">
        <is>
          <t>74:83:c2:5c:7a:51</t>
        </is>
      </c>
      <c r="B349" s="20" t="inlineStr">
        <is>
          <t>10.22.185.82</t>
        </is>
      </c>
      <c r="H349" t="n">
        <v>348</v>
      </c>
    </row>
    <row r="350" ht="15" customHeight="1" s="17">
      <c r="A350" s="20" t="inlineStr">
        <is>
          <t>60:22:32:ce:79:12</t>
        </is>
      </c>
      <c r="B350" s="20" t="inlineStr">
        <is>
          <t>10.22.185.93</t>
        </is>
      </c>
      <c r="H350" t="n">
        <v>349</v>
      </c>
    </row>
    <row r="351" ht="15" customHeight="1" s="17">
      <c r="A351" s="20" t="inlineStr">
        <is>
          <t>44:d9:e7:2a:ae:13</t>
        </is>
      </c>
      <c r="B351" s="20" t="inlineStr">
        <is>
          <t>10.22.186.19</t>
        </is>
      </c>
      <c r="H351" t="n">
        <v>350</v>
      </c>
    </row>
    <row r="352" ht="15" customHeight="1" s="17">
      <c r="A352" s="20" t="inlineStr">
        <is>
          <t>44:d9:e7:ce:eb:cb</t>
        </is>
      </c>
      <c r="B352" s="20" t="inlineStr">
        <is>
          <t>10.22.186.26</t>
        </is>
      </c>
      <c r="H352" t="n">
        <v>351</v>
      </c>
    </row>
    <row r="353" ht="15" customHeight="1" s="17">
      <c r="A353" s="20" t="inlineStr">
        <is>
          <t>9c:05:d6:8c:55:1b</t>
        </is>
      </c>
      <c r="B353" s="20" t="inlineStr">
        <is>
          <t>10.22.187.18</t>
        </is>
      </c>
      <c r="H353" t="n">
        <v>352</v>
      </c>
    </row>
    <row r="354" ht="15" customHeight="1" s="17">
      <c r="A354" s="20" t="inlineStr">
        <is>
          <t>60:22:32:d8:57:a5</t>
        </is>
      </c>
      <c r="B354" s="20" t="inlineStr">
        <is>
          <t>10.22.188.3</t>
        </is>
      </c>
      <c r="H354" t="n">
        <v>353</v>
      </c>
    </row>
    <row r="355" ht="15" customHeight="1" s="17">
      <c r="A355" s="20" t="inlineStr">
        <is>
          <t>9c:05:d6:8c:6e:c1</t>
        </is>
      </c>
      <c r="B355" s="20" t="inlineStr">
        <is>
          <t>10.22.189.2</t>
        </is>
      </c>
      <c r="H355" t="n">
        <v>354</v>
      </c>
    </row>
    <row r="356" ht="15" customHeight="1" s="17">
      <c r="A356" s="20" t="inlineStr">
        <is>
          <t>60:22:32:d4:9c:99</t>
        </is>
      </c>
      <c r="B356" s="20" t="inlineStr">
        <is>
          <t>10.22.194.12</t>
        </is>
      </c>
      <c r="H356" t="n">
        <v>355</v>
      </c>
    </row>
    <row r="357" ht="15" customHeight="1" s="17">
      <c r="A357" s="20" t="inlineStr">
        <is>
          <t>9c:05:d6:84:5f:45</t>
        </is>
      </c>
      <c r="B357" s="20" t="inlineStr">
        <is>
          <t>10.22.194.25</t>
        </is>
      </c>
      <c r="H357" t="n">
        <v>356</v>
      </c>
    </row>
    <row r="358" ht="15" customHeight="1" s="17">
      <c r="A358" s="20" t="inlineStr">
        <is>
          <t>9c:05:d6:84:5a:73</t>
        </is>
      </c>
      <c r="B358" s="20" t="inlineStr">
        <is>
          <t>10.22.194.35</t>
        </is>
      </c>
      <c r="H358" t="n">
        <v>357</v>
      </c>
    </row>
    <row r="359" ht="15" customHeight="1" s="17">
      <c r="A359" s="20" t="inlineStr">
        <is>
          <t>f4:e2:c6:92:c3:cd</t>
        </is>
      </c>
      <c r="B359" s="20" t="inlineStr">
        <is>
          <t>10.22.194.58</t>
        </is>
      </c>
      <c r="H359" t="n">
        <v>358</v>
      </c>
    </row>
    <row r="360" ht="15" customHeight="1" s="17">
      <c r="A360" s="20" t="inlineStr">
        <is>
          <t>28:70:4e:b8:6a:40</t>
        </is>
      </c>
      <c r="B360" s="20" t="inlineStr">
        <is>
          <t>10.22.194.67</t>
        </is>
      </c>
      <c r="H360" t="n">
        <v>359</v>
      </c>
    </row>
    <row r="361" ht="15" customHeight="1" s="17">
      <c r="A361" s="20" t="inlineStr">
        <is>
          <t>1c:6a:1b:c0:c5:a8</t>
        </is>
      </c>
      <c r="B361" s="20" t="inlineStr">
        <is>
          <t>10.22.194.72</t>
        </is>
      </c>
      <c r="H361" t="n">
        <v>360</v>
      </c>
    </row>
    <row r="362" ht="15" customHeight="1" s="17">
      <c r="A362" s="20" t="inlineStr">
        <is>
          <t>1c:6a:1b:c0:cd:0a</t>
        </is>
      </c>
      <c r="B362" s="20" t="inlineStr">
        <is>
          <t>10.22.194.73</t>
        </is>
      </c>
      <c r="H362" t="n">
        <v>361</v>
      </c>
    </row>
    <row r="363" ht="15" customHeight="1" s="17">
      <c r="A363" s="20" t="inlineStr">
        <is>
          <t>f4:92:bf:f0:99:aa</t>
        </is>
      </c>
      <c r="B363" s="20" t="inlineStr">
        <is>
          <t>10.22.99.2</t>
        </is>
      </c>
      <c r="H363" t="n">
        <v>362</v>
      </c>
    </row>
    <row r="364" ht="15" customHeight="1" s="17">
      <c r="A364" s="20" t="inlineStr">
        <is>
          <t>f4:92:bf:f8:69:08</t>
        </is>
      </c>
      <c r="B364" s="20" t="inlineStr">
        <is>
          <t>10.9.0.11</t>
        </is>
      </c>
      <c r="H364" t="n">
        <v>363</v>
      </c>
    </row>
    <row r="365" ht="15" customHeight="1" s="17">
      <c r="A365" s="20" t="inlineStr">
        <is>
          <t>68:d7:9a:9e:e4:a6</t>
        </is>
      </c>
      <c r="B365" s="20" t="inlineStr">
        <is>
          <t>10.9.0.2</t>
        </is>
      </c>
      <c r="H365" t="n">
        <v>364</v>
      </c>
    </row>
    <row r="366" ht="15" customHeight="1" s="17">
      <c r="A366" s="20" t="inlineStr">
        <is>
          <t>68:d7:9a:aa:b9:e8</t>
        </is>
      </c>
      <c r="B366" s="20" t="inlineStr">
        <is>
          <t>10.9.0.23</t>
        </is>
      </c>
      <c r="H366" t="n">
        <v>365</v>
      </c>
    </row>
    <row r="367" ht="15" customHeight="1" s="17">
      <c r="A367" s="20" t="inlineStr">
        <is>
          <t>f4:92:bf:f0:a2:57</t>
        </is>
      </c>
      <c r="B367" s="20" t="inlineStr">
        <is>
          <t>10.9.0.24</t>
        </is>
      </c>
      <c r="H367" t="n">
        <v>366</v>
      </c>
    </row>
    <row r="368" ht="15" customHeight="1" s="17">
      <c r="A368" s="20" t="inlineStr">
        <is>
          <t>68:d7:9a:9e:d3:12</t>
        </is>
      </c>
      <c r="B368" s="20" t="inlineStr">
        <is>
          <t>10.9.0.29</t>
        </is>
      </c>
      <c r="H368" t="n">
        <v>367</v>
      </c>
    </row>
    <row r="369" ht="15" customHeight="1" s="17">
      <c r="A369" s="20" t="inlineStr">
        <is>
          <t>68:d7:9a:9e:d0:d9</t>
        </is>
      </c>
      <c r="B369" s="20" t="inlineStr">
        <is>
          <t>10.9.0.38</t>
        </is>
      </c>
      <c r="H369" t="n">
        <v>368</v>
      </c>
    </row>
    <row r="370" ht="15" customHeight="1" s="17">
      <c r="A370" s="20" t="inlineStr">
        <is>
          <t>68:d7:9a:9e:cb:92</t>
        </is>
      </c>
      <c r="B370" s="20" t="inlineStr">
        <is>
          <t>10.9.0.42</t>
        </is>
      </c>
      <c r="H370" t="n">
        <v>369</v>
      </c>
    </row>
    <row r="371" ht="15" customHeight="1" s="17">
      <c r="A371" s="20" t="inlineStr">
        <is>
          <t>68:d7:9a:9e:e4:d2</t>
        </is>
      </c>
      <c r="B371" s="20" t="inlineStr">
        <is>
          <t>10.9.0.56</t>
        </is>
      </c>
      <c r="H371" t="n">
        <v>370</v>
      </c>
    </row>
    <row r="372" ht="15" customHeight="1" s="17">
      <c r="A372" s="20" t="inlineStr">
        <is>
          <t>60:22:32:d4:4f:71</t>
        </is>
      </c>
      <c r="B372" s="20" t="inlineStr">
        <is>
          <t>10.9.0.59</t>
        </is>
      </c>
      <c r="H372" t="n">
        <v>371</v>
      </c>
    </row>
    <row r="373" ht="15" customHeight="1" s="17">
      <c r="A373" s="20" t="inlineStr">
        <is>
          <t>68:d7:9a:9e:d7:2a</t>
        </is>
      </c>
      <c r="B373" s="20" t="inlineStr">
        <is>
          <t>10.9.0.60</t>
        </is>
      </c>
      <c r="H373" t="n">
        <v>372</v>
      </c>
    </row>
    <row r="374" ht="15" customHeight="1" s="17">
      <c r="A374" s="20" t="inlineStr">
        <is>
          <t>60:22:32:d0:c7:76</t>
        </is>
      </c>
      <c r="B374" s="20" t="inlineStr">
        <is>
          <t>10.9.0.61</t>
        </is>
      </c>
      <c r="H374" t="n">
        <v>373</v>
      </c>
    </row>
    <row r="375" ht="15" customHeight="1" s="17">
      <c r="A375" s="20" t="inlineStr">
        <is>
          <t>68:d7:9a:9e:d6:72</t>
        </is>
      </c>
      <c r="B375" s="20" t="inlineStr">
        <is>
          <t>10.9.0.65</t>
        </is>
      </c>
      <c r="H375" t="n">
        <v>374</v>
      </c>
    </row>
    <row r="376" ht="15" customHeight="1" s="17">
      <c r="A376" s="20" t="inlineStr">
        <is>
          <t>68:d7:9a:9e:cd:cf</t>
        </is>
      </c>
      <c r="B376" s="20" t="inlineStr">
        <is>
          <t>10.9.0.7</t>
        </is>
      </c>
      <c r="H376" t="n">
        <v>375</v>
      </c>
    </row>
    <row r="377" ht="15" customHeight="1" s="17">
      <c r="A377" s="20" t="inlineStr">
        <is>
          <t>9c:05:d6:8c:4a:67</t>
        </is>
      </c>
      <c r="B377" s="20" t="inlineStr">
        <is>
          <t>10.9.0.78</t>
        </is>
      </c>
      <c r="H377" t="n">
        <v>376</v>
      </c>
    </row>
    <row r="378" ht="15" customHeight="1" s="17">
      <c r="A378" s="20" t="inlineStr">
        <is>
          <t>68:d7:9a:aa:dd:de</t>
        </is>
      </c>
      <c r="B378" s="20" t="inlineStr">
        <is>
          <t>10.9.0.79</t>
        </is>
      </c>
      <c r="H378" t="n">
        <v>377</v>
      </c>
    </row>
    <row r="379" ht="15" customHeight="1" s="17">
      <c r="A379" s="20" t="inlineStr">
        <is>
          <t>f4:e2:c6:82:64:c4</t>
        </is>
      </c>
      <c r="B379" s="20" t="inlineStr">
        <is>
          <t>10.9.2.117</t>
        </is>
      </c>
      <c r="H379" t="n">
        <v>378</v>
      </c>
    </row>
    <row r="380" ht="15" customHeight="1" s="17">
      <c r="A380" s="20" t="inlineStr">
        <is>
          <t>60:22:32:d8:6f:72</t>
        </is>
      </c>
      <c r="B380" s="20" t="inlineStr">
        <is>
          <t>10.9.2.119</t>
        </is>
      </c>
      <c r="H380" t="n">
        <v>379</v>
      </c>
    </row>
    <row r="381" ht="15" customHeight="1" s="17">
      <c r="A381" s="20" t="inlineStr">
        <is>
          <t>60:22:32:d4:8c:c4</t>
        </is>
      </c>
      <c r="B381" s="20" t="inlineStr">
        <is>
          <t>10.9.2.125</t>
        </is>
      </c>
      <c r="H381" t="n">
        <v>380</v>
      </c>
    </row>
    <row r="382" ht="15" customHeight="1" s="17">
      <c r="A382" s="20" t="inlineStr">
        <is>
          <t>f4:e2:c6:82:5d:76</t>
        </is>
      </c>
      <c r="B382" s="20" t="inlineStr">
        <is>
          <t>10.9.2.18</t>
        </is>
      </c>
      <c r="H382" t="n">
        <v>381</v>
      </c>
    </row>
    <row r="383" ht="15" customHeight="1" s="17">
      <c r="A383" s="20" t="inlineStr">
        <is>
          <t>60:22:32:d8:6e:07</t>
        </is>
      </c>
      <c r="B383" s="20" t="inlineStr">
        <is>
          <t>10.9.2.205</t>
        </is>
      </c>
      <c r="H383" t="n">
        <v>382</v>
      </c>
    </row>
    <row r="384" ht="15" customHeight="1" s="17">
      <c r="A384" s="20" t="inlineStr">
        <is>
          <t>9c:05:d6:84:5d:67</t>
        </is>
      </c>
      <c r="B384" s="20" t="inlineStr">
        <is>
          <t>10.9.2.219</t>
        </is>
      </c>
      <c r="H384" t="n">
        <v>383</v>
      </c>
    </row>
    <row r="385" ht="15" customHeight="1" s="17">
      <c r="A385" s="20" t="inlineStr">
        <is>
          <t>9c:05:d6:84:5d:15</t>
        </is>
      </c>
      <c r="B385" s="20" t="inlineStr">
        <is>
          <t>10.9.2.220</t>
        </is>
      </c>
      <c r="H385" t="n">
        <v>384</v>
      </c>
    </row>
    <row r="386" ht="15" customHeight="1" s="17">
      <c r="A386" s="20" t="inlineStr">
        <is>
          <t>9c:05:d6:84:73:32</t>
        </is>
      </c>
      <c r="B386" s="20" t="inlineStr">
        <is>
          <t>10.9.2.230</t>
        </is>
      </c>
      <c r="H386" t="n">
        <v>385</v>
      </c>
    </row>
    <row r="387" ht="15" customHeight="1" s="17">
      <c r="A387" s="20" t="inlineStr">
        <is>
          <t>f4:e2:c6:88:21:b0</t>
        </is>
      </c>
      <c r="B387" s="20" t="inlineStr">
        <is>
          <t>10.9.2.238</t>
        </is>
      </c>
      <c r="H387" t="n">
        <v>386</v>
      </c>
    </row>
    <row r="388" ht="15" customHeight="1" s="17">
      <c r="A388" s="20" t="inlineStr">
        <is>
          <t>f4:92:bf:f0:8a:15</t>
        </is>
      </c>
      <c r="B388" s="20" t="inlineStr">
        <is>
          <t>10.9.2.42</t>
        </is>
      </c>
      <c r="H388" t="n">
        <v>387</v>
      </c>
    </row>
    <row r="389" ht="15" customHeight="1" s="17">
      <c r="A389" s="20" t="inlineStr">
        <is>
          <t>f4:92:bf:f0:94:2a</t>
        </is>
      </c>
      <c r="B389" s="20" t="inlineStr">
        <is>
          <t>10.9.2.55</t>
        </is>
      </c>
      <c r="H389" t="n">
        <v>388</v>
      </c>
    </row>
    <row r="390" ht="15" customHeight="1" s="17">
      <c r="A390" s="20" t="inlineStr">
        <is>
          <t>60:22:32:d8:71:87</t>
        </is>
      </c>
      <c r="B390" s="20" t="inlineStr">
        <is>
          <t>10.9.2.68</t>
        </is>
      </c>
      <c r="H390" t="n">
        <v>389</v>
      </c>
    </row>
    <row r="391" ht="15" customHeight="1" s="17">
      <c r="A391" s="20" t="inlineStr">
        <is>
          <t>44:d9:e7:2a:b1:ce</t>
        </is>
      </c>
      <c r="B391" s="20" t="inlineStr">
        <is>
          <t>10.9.2.75</t>
        </is>
      </c>
      <c r="H391" t="n">
        <v>390</v>
      </c>
    </row>
    <row r="392" ht="15" customHeight="1" s="17">
      <c r="A392" s="20" t="inlineStr">
        <is>
          <t>68:d7:9a:aa:da:1d</t>
        </is>
      </c>
      <c r="B392" s="20" t="inlineStr">
        <is>
          <t>10.9.2.83</t>
        </is>
      </c>
      <c r="H392" t="n">
        <v>391</v>
      </c>
    </row>
    <row r="393" ht="15" customHeight="1" s="17">
      <c r="A393" s="20" t="inlineStr">
        <is>
          <t>f4:e2:c6:82:65:5d</t>
        </is>
      </c>
      <c r="B393" s="20" t="inlineStr">
        <is>
          <t>10.9.2.99</t>
        </is>
      </c>
      <c r="H393" t="n">
        <v>392</v>
      </c>
    </row>
    <row r="394" ht="15" customHeight="1" s="17">
      <c r="A394" s="20" t="inlineStr">
        <is>
          <t>28:70:4e:a0:75:54</t>
        </is>
      </c>
      <c r="B394" s="20" t="inlineStr">
        <is>
          <t>10.9.3.2</t>
        </is>
      </c>
      <c r="H394" t="n">
        <v>393</v>
      </c>
    </row>
    <row r="395" ht="15" customHeight="1" s="17">
      <c r="A395" s="20" t="inlineStr">
        <is>
          <t>f4:92:bf:f8:68:97</t>
        </is>
      </c>
      <c r="B395" s="20" t="inlineStr">
        <is>
          <t>10.9.3.20</t>
        </is>
      </c>
      <c r="H395" t="n">
        <v>394</v>
      </c>
    </row>
    <row r="396" ht="15" customHeight="1" s="17">
      <c r="A396" s="20" t="inlineStr">
        <is>
          <t>9c:05:d6:8c:4a:86</t>
        </is>
      </c>
      <c r="B396" s="20" t="inlineStr">
        <is>
          <t>10.9.3.25</t>
        </is>
      </c>
      <c r="H396" t="n">
        <v>395</v>
      </c>
    </row>
    <row r="397" ht="15" customHeight="1" s="17">
      <c r="A397" s="20" t="inlineStr">
        <is>
          <t>68:d7:9a:9e:d0:af</t>
        </is>
      </c>
      <c r="B397" s="20" t="inlineStr">
        <is>
          <t>10.9.3.33</t>
        </is>
      </c>
      <c r="H397" t="n">
        <v>396</v>
      </c>
    </row>
    <row r="398" ht="15" customHeight="1" s="17">
      <c r="A398" s="20" t="inlineStr">
        <is>
          <t>f4:e2:c6:8e:3e:9b</t>
        </is>
      </c>
      <c r="B398" s="20" t="inlineStr">
        <is>
          <t>10.9.3.35</t>
        </is>
      </c>
      <c r="H398" t="n">
        <v>397</v>
      </c>
    </row>
    <row r="399" ht="15" customHeight="1" s="17">
      <c r="A399" s="20" t="inlineStr">
        <is>
          <t>9c:05:d6:84:5b:f8</t>
        </is>
      </c>
      <c r="B399" s="20" t="inlineStr">
        <is>
          <t>10.9.3.40</t>
        </is>
      </c>
      <c r="H399" t="n">
        <v>398</v>
      </c>
    </row>
    <row r="400" ht="15" customHeight="1" s="17">
      <c r="A400" s="20" t="inlineStr">
        <is>
          <t>60:22:32:d8:70:41</t>
        </is>
      </c>
      <c r="B400" s="20" t="inlineStr">
        <is>
          <t>10.9.4.15</t>
        </is>
      </c>
      <c r="H400" t="n">
        <v>399</v>
      </c>
    </row>
    <row r="401" ht="15" customHeight="1" s="17">
      <c r="A401" s="20" t="inlineStr">
        <is>
          <t>f4:e2:c6:8e:99:da</t>
        </is>
      </c>
      <c r="B401" s="20" t="inlineStr">
        <is>
          <t>10.9.4.27</t>
        </is>
      </c>
      <c r="H401" t="n">
        <v>400</v>
      </c>
    </row>
    <row r="402" ht="15" customHeight="1" s="17">
      <c r="A402" s="20" t="inlineStr">
        <is>
          <t>60:22:32:da:96:80</t>
        </is>
      </c>
      <c r="B402" s="20" t="inlineStr">
        <is>
          <t>10.9.6.38</t>
        </is>
      </c>
      <c r="H402" t="n">
        <v>401</v>
      </c>
    </row>
    <row r="403" ht="15" customHeight="1" s="17">
      <c r="A403" s="20" t="inlineStr">
        <is>
          <t>f4:e2:c6:88:22:b9</t>
        </is>
      </c>
      <c r="B403" s="20" t="inlineStr">
        <is>
          <t>10.9.6.60</t>
        </is>
      </c>
      <c r="H403" t="n">
        <v>402</v>
      </c>
    </row>
  </sheetData>
  <dataValidations count="1">
    <dataValidation sqref="E2:E403" showDropDown="0" showInputMessage="0" showErrorMessage="0" allowBlank="1" type="list">
      <formula1>=LISTAS!$A$2:$A$10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2" customWidth="1" style="17" min="1" max="1"/>
  </cols>
  <sheetData>
    <row r="1">
      <c r="A1" s="21" t="inlineStr">
        <is>
          <t>Situação (lista)</t>
        </is>
      </c>
    </row>
    <row r="2">
      <c r="A2" t="inlineStr">
        <is>
          <t>A dever</t>
        </is>
      </c>
    </row>
    <row r="3">
      <c r="A3" t="inlineStr">
        <is>
          <t>Em dia</t>
        </is>
      </c>
    </row>
    <row r="4">
      <c r="A4" t="inlineStr">
        <is>
          <t>Sem contacto</t>
        </is>
      </c>
    </row>
    <row r="5">
      <c r="A5" t="inlineStr">
        <is>
          <t>Sem resposta</t>
        </is>
      </c>
    </row>
    <row r="6">
      <c r="A6" t="inlineStr">
        <is>
          <t>Em negociação</t>
        </is>
      </c>
    </row>
    <row r="7">
      <c r="A7" t="inlineStr">
        <is>
          <t>Em espera</t>
        </is>
      </c>
    </row>
    <row r="8">
      <c r="A8" t="inlineStr">
        <is>
          <t>Cancelado</t>
        </is>
      </c>
    </row>
    <row r="9">
      <c r="A9" t="inlineStr">
        <is>
          <t>Cortado</t>
        </is>
      </c>
    </row>
    <row r="10">
      <c r="A10" t="inlineStr">
        <is>
          <t>Continua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A dever</t>
        </is>
      </c>
      <c r="J1" t="inlineStr">
        <is>
          <t>A dever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Em dia</t>
        </is>
      </c>
      <c r="J1" t="inlineStr">
        <is>
          <t>Em dia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Sem contacto</t>
        </is>
      </c>
      <c r="J1" t="inlineStr">
        <is>
          <t>Sem contacto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Sem resposta</t>
        </is>
      </c>
      <c r="J1" t="inlineStr">
        <is>
          <t>Sem resposta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Em espera</t>
        </is>
      </c>
      <c r="J1" t="inlineStr">
        <is>
          <t>Em espera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Cancelado</t>
        </is>
      </c>
      <c r="J1" t="inlineStr">
        <is>
          <t>Cancelado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7" min="1" max="1"/>
    <col width="14" customWidth="1" style="17" min="2" max="2"/>
    <col width="14" customWidth="1" style="17" min="3" max="3"/>
    <col width="12" customWidth="1" style="17" min="4" max="4"/>
    <col width="14" customWidth="1" style="17" min="5" max="5"/>
    <col width="18" customWidth="1" style="17" min="6" max="6"/>
    <col width="35" customWidth="1" style="17" min="7" max="7"/>
  </cols>
  <sheetData>
    <row r="1" ht="24" customHeight="1" s="17">
      <c r="A1" s="38" t="inlineStr">
        <is>
          <t>CLIENTES — Cortado</t>
        </is>
      </c>
      <c r="J1" t="inlineStr">
        <is>
          <t>Cortado</t>
        </is>
      </c>
    </row>
    <row r="2" ht="20" customHeight="1" s="17">
      <c r="A2" s="39" t="inlineStr">
        <is>
          <t>MAC</t>
        </is>
      </c>
      <c r="B2" s="39" t="inlineStr">
        <is>
          <t>Ips</t>
        </is>
      </c>
      <c r="C2" s="39" t="inlineStr">
        <is>
          <t>Contactos</t>
        </is>
      </c>
      <c r="D2" s="39" t="inlineStr">
        <is>
          <t>data exp</t>
        </is>
      </c>
      <c r="E2" s="39" t="inlineStr">
        <is>
          <t>Situação</t>
        </is>
      </c>
      <c r="F2" s="39" t="inlineStr">
        <is>
          <t>data da proxima ação</t>
        </is>
      </c>
      <c r="G2" s="39" t="inlineStr">
        <is>
          <t>observação</t>
        </is>
      </c>
    </row>
    <row r="3">
      <c r="A3" s="40">
        <f>IFERROR(INDEX('macs_ips'!$A$2:$A$403,AGGREGATE(15,6,(ROW('macs_ips'!$A$2:$A$403)-ROW(INDEX('macs_ips'!$A$2:$A$403,1,1))+1)/('macs_ips'!$E$2:$E$403=$J$1),ROW(A1))),"")</f>
        <v/>
      </c>
      <c r="B3" s="40">
        <f>IFERROR(INDEX('macs_ips'!$B$2:$B$403,AGGREGATE(15,6,(ROW('macs_ips'!$A$2:$A$403)-ROW(INDEX('macs_ips'!$A$2:$A$403,1,1))+1)/('macs_ips'!$E$2:$E$403=$J$1),ROW(A1))),"")</f>
        <v/>
      </c>
      <c r="C3" s="40">
        <f>IFERROR(INDEX('macs_ips'!$C$2:$C$403,AGGREGATE(15,6,(ROW('macs_ips'!$A$2:$A$403)-ROW(INDEX('macs_ips'!$A$2:$A$403,1,1))+1)/('macs_ips'!$E$2:$E$403=$J$1),ROW(A1))),"")</f>
        <v/>
      </c>
      <c r="D3" s="41">
        <f>IFERROR(INDEX('macs_ips'!$D$2:$D$403,AGGREGATE(15,6,(ROW('macs_ips'!$A$2:$A$403)-ROW(INDEX('macs_ips'!$A$2:$A$403,1,1))+1)/('macs_ips'!$E$2:$E$403=$J$1),ROW(A1))),"")</f>
        <v/>
      </c>
      <c r="E3" s="40">
        <f>IFERROR(INDEX('macs_ips'!$E$2:$E$403,AGGREGATE(15,6,(ROW('macs_ips'!$A$2:$A$403)-ROW(INDEX('macs_ips'!$A$2:$A$403,1,1))+1)/('macs_ips'!$E$2:$E$403=$J$1),ROW(A1))),"")</f>
        <v/>
      </c>
      <c r="F3" s="41">
        <f>IFERROR(INDEX('macs_ips'!$F$2:$F$403,AGGREGATE(15,6,(ROW('macs_ips'!$A$2:$A$403)-ROW(INDEX('macs_ips'!$A$2:$A$403,1,1))+1)/('macs_ips'!$E$2:$E$403=$J$1),ROW(A1))),"")</f>
        <v/>
      </c>
      <c r="G3" s="40">
        <f>IFERROR(INDEX('macs_ips'!$G$2:$G$403,AGGREGATE(15,6,(ROW('macs_ips'!$A$2:$A$403)-ROW(INDEX('macs_ips'!$A$2:$A$403,1,1))+1)/('macs_ips'!$E$2:$E$403=$J$1),ROW(A1))),"")</f>
        <v/>
      </c>
    </row>
    <row r="4">
      <c r="A4" s="40">
        <f>IFERROR(INDEX('macs_ips'!$A$2:$A$403,AGGREGATE(15,6,(ROW('macs_ips'!$A$2:$A$403)-ROW(INDEX('macs_ips'!$A$2:$A$403,1,1))+1)/('macs_ips'!$E$2:$E$403=$J$1),ROW(A2))),"")</f>
        <v/>
      </c>
      <c r="B4" s="40">
        <f>IFERROR(INDEX('macs_ips'!$B$2:$B$403,AGGREGATE(15,6,(ROW('macs_ips'!$A$2:$A$403)-ROW(INDEX('macs_ips'!$A$2:$A$403,1,1))+1)/('macs_ips'!$E$2:$E$403=$J$1),ROW(A2))),"")</f>
        <v/>
      </c>
      <c r="C4" s="40">
        <f>IFERROR(INDEX('macs_ips'!$C$2:$C$403,AGGREGATE(15,6,(ROW('macs_ips'!$A$2:$A$403)-ROW(INDEX('macs_ips'!$A$2:$A$403,1,1))+1)/('macs_ips'!$E$2:$E$403=$J$1),ROW(A2))),"")</f>
        <v/>
      </c>
      <c r="D4" s="41">
        <f>IFERROR(INDEX('macs_ips'!$D$2:$D$403,AGGREGATE(15,6,(ROW('macs_ips'!$A$2:$A$403)-ROW(INDEX('macs_ips'!$A$2:$A$403,1,1))+1)/('macs_ips'!$E$2:$E$403=$J$1),ROW(A2))),"")</f>
        <v/>
      </c>
      <c r="E4" s="40">
        <f>IFERROR(INDEX('macs_ips'!$E$2:$E$403,AGGREGATE(15,6,(ROW('macs_ips'!$A$2:$A$403)-ROW(INDEX('macs_ips'!$A$2:$A$403,1,1))+1)/('macs_ips'!$E$2:$E$403=$J$1),ROW(A2))),"")</f>
        <v/>
      </c>
      <c r="F4" s="41">
        <f>IFERROR(INDEX('macs_ips'!$F$2:$F$403,AGGREGATE(15,6,(ROW('macs_ips'!$A$2:$A$403)-ROW(INDEX('macs_ips'!$A$2:$A$403,1,1))+1)/('macs_ips'!$E$2:$E$403=$J$1),ROW(A2))),"")</f>
        <v/>
      </c>
      <c r="G4" s="40">
        <f>IFERROR(INDEX('macs_ips'!$G$2:$G$403,AGGREGATE(15,6,(ROW('macs_ips'!$A$2:$A$403)-ROW(INDEX('macs_ips'!$A$2:$A$403,1,1))+1)/('macs_ips'!$E$2:$E$403=$J$1),ROW(A2))),"")</f>
        <v/>
      </c>
    </row>
    <row r="5">
      <c r="A5" s="40">
        <f>IFERROR(INDEX('macs_ips'!$A$2:$A$403,AGGREGATE(15,6,(ROW('macs_ips'!$A$2:$A$403)-ROW(INDEX('macs_ips'!$A$2:$A$403,1,1))+1)/('macs_ips'!$E$2:$E$403=$J$1),ROW(A3))),"")</f>
        <v/>
      </c>
      <c r="B5" s="40">
        <f>IFERROR(INDEX('macs_ips'!$B$2:$B$403,AGGREGATE(15,6,(ROW('macs_ips'!$A$2:$A$403)-ROW(INDEX('macs_ips'!$A$2:$A$403,1,1))+1)/('macs_ips'!$E$2:$E$403=$J$1),ROW(A3))),"")</f>
        <v/>
      </c>
      <c r="C5" s="40">
        <f>IFERROR(INDEX('macs_ips'!$C$2:$C$403,AGGREGATE(15,6,(ROW('macs_ips'!$A$2:$A$403)-ROW(INDEX('macs_ips'!$A$2:$A$403,1,1))+1)/('macs_ips'!$E$2:$E$403=$J$1),ROW(A3))),"")</f>
        <v/>
      </c>
      <c r="D5" s="41">
        <f>IFERROR(INDEX('macs_ips'!$D$2:$D$403,AGGREGATE(15,6,(ROW('macs_ips'!$A$2:$A$403)-ROW(INDEX('macs_ips'!$A$2:$A$403,1,1))+1)/('macs_ips'!$E$2:$E$403=$J$1),ROW(A3))),"")</f>
        <v/>
      </c>
      <c r="E5" s="40">
        <f>IFERROR(INDEX('macs_ips'!$E$2:$E$403,AGGREGATE(15,6,(ROW('macs_ips'!$A$2:$A$403)-ROW(INDEX('macs_ips'!$A$2:$A$403,1,1))+1)/('macs_ips'!$E$2:$E$403=$J$1),ROW(A3))),"")</f>
        <v/>
      </c>
      <c r="F5" s="41">
        <f>IFERROR(INDEX('macs_ips'!$F$2:$F$403,AGGREGATE(15,6,(ROW('macs_ips'!$A$2:$A$403)-ROW(INDEX('macs_ips'!$A$2:$A$403,1,1))+1)/('macs_ips'!$E$2:$E$403=$J$1),ROW(A3))),"")</f>
        <v/>
      </c>
      <c r="G5" s="40">
        <f>IFERROR(INDEX('macs_ips'!$G$2:$G$403,AGGREGATE(15,6,(ROW('macs_ips'!$A$2:$A$403)-ROW(INDEX('macs_ips'!$A$2:$A$403,1,1))+1)/('macs_ips'!$E$2:$E$403=$J$1),ROW(A3))),"")</f>
        <v/>
      </c>
    </row>
    <row r="6">
      <c r="A6" s="40">
        <f>IFERROR(INDEX('macs_ips'!$A$2:$A$403,AGGREGATE(15,6,(ROW('macs_ips'!$A$2:$A$403)-ROW(INDEX('macs_ips'!$A$2:$A$403,1,1))+1)/('macs_ips'!$E$2:$E$403=$J$1),ROW(A4))),"")</f>
        <v/>
      </c>
      <c r="B6" s="40">
        <f>IFERROR(INDEX('macs_ips'!$B$2:$B$403,AGGREGATE(15,6,(ROW('macs_ips'!$A$2:$A$403)-ROW(INDEX('macs_ips'!$A$2:$A$403,1,1))+1)/('macs_ips'!$E$2:$E$403=$J$1),ROW(A4))),"")</f>
        <v/>
      </c>
      <c r="C6" s="40">
        <f>IFERROR(INDEX('macs_ips'!$C$2:$C$403,AGGREGATE(15,6,(ROW('macs_ips'!$A$2:$A$403)-ROW(INDEX('macs_ips'!$A$2:$A$403,1,1))+1)/('macs_ips'!$E$2:$E$403=$J$1),ROW(A4))),"")</f>
        <v/>
      </c>
      <c r="D6" s="41">
        <f>IFERROR(INDEX('macs_ips'!$D$2:$D$403,AGGREGATE(15,6,(ROW('macs_ips'!$A$2:$A$403)-ROW(INDEX('macs_ips'!$A$2:$A$403,1,1))+1)/('macs_ips'!$E$2:$E$403=$J$1),ROW(A4))),"")</f>
        <v/>
      </c>
      <c r="E6" s="40">
        <f>IFERROR(INDEX('macs_ips'!$E$2:$E$403,AGGREGATE(15,6,(ROW('macs_ips'!$A$2:$A$403)-ROW(INDEX('macs_ips'!$A$2:$A$403,1,1))+1)/('macs_ips'!$E$2:$E$403=$J$1),ROW(A4))),"")</f>
        <v/>
      </c>
      <c r="F6" s="41">
        <f>IFERROR(INDEX('macs_ips'!$F$2:$F$403,AGGREGATE(15,6,(ROW('macs_ips'!$A$2:$A$403)-ROW(INDEX('macs_ips'!$A$2:$A$403,1,1))+1)/('macs_ips'!$E$2:$E$403=$J$1),ROW(A4))),"")</f>
        <v/>
      </c>
      <c r="G6" s="40">
        <f>IFERROR(INDEX('macs_ips'!$G$2:$G$403,AGGREGATE(15,6,(ROW('macs_ips'!$A$2:$A$403)-ROW(INDEX('macs_ips'!$A$2:$A$403,1,1))+1)/('macs_ips'!$E$2:$E$403=$J$1),ROW(A4))),"")</f>
        <v/>
      </c>
    </row>
    <row r="7">
      <c r="A7" s="40">
        <f>IFERROR(INDEX('macs_ips'!$A$2:$A$403,AGGREGATE(15,6,(ROW('macs_ips'!$A$2:$A$403)-ROW(INDEX('macs_ips'!$A$2:$A$403,1,1))+1)/('macs_ips'!$E$2:$E$403=$J$1),ROW(A5))),"")</f>
        <v/>
      </c>
      <c r="B7" s="40">
        <f>IFERROR(INDEX('macs_ips'!$B$2:$B$403,AGGREGATE(15,6,(ROW('macs_ips'!$A$2:$A$403)-ROW(INDEX('macs_ips'!$A$2:$A$403,1,1))+1)/('macs_ips'!$E$2:$E$403=$J$1),ROW(A5))),"")</f>
        <v/>
      </c>
      <c r="C7" s="40">
        <f>IFERROR(INDEX('macs_ips'!$C$2:$C$403,AGGREGATE(15,6,(ROW('macs_ips'!$A$2:$A$403)-ROW(INDEX('macs_ips'!$A$2:$A$403,1,1))+1)/('macs_ips'!$E$2:$E$403=$J$1),ROW(A5))),"")</f>
        <v/>
      </c>
      <c r="D7" s="41">
        <f>IFERROR(INDEX('macs_ips'!$D$2:$D$403,AGGREGATE(15,6,(ROW('macs_ips'!$A$2:$A$403)-ROW(INDEX('macs_ips'!$A$2:$A$403,1,1))+1)/('macs_ips'!$E$2:$E$403=$J$1),ROW(A5))),"")</f>
        <v/>
      </c>
      <c r="E7" s="40">
        <f>IFERROR(INDEX('macs_ips'!$E$2:$E$403,AGGREGATE(15,6,(ROW('macs_ips'!$A$2:$A$403)-ROW(INDEX('macs_ips'!$A$2:$A$403,1,1))+1)/('macs_ips'!$E$2:$E$403=$J$1),ROW(A5))),"")</f>
        <v/>
      </c>
      <c r="F7" s="41">
        <f>IFERROR(INDEX('macs_ips'!$F$2:$F$403,AGGREGATE(15,6,(ROW('macs_ips'!$A$2:$A$403)-ROW(INDEX('macs_ips'!$A$2:$A$403,1,1))+1)/('macs_ips'!$E$2:$E$403=$J$1),ROW(A5))),"")</f>
        <v/>
      </c>
      <c r="G7" s="40">
        <f>IFERROR(INDEX('macs_ips'!$G$2:$G$403,AGGREGATE(15,6,(ROW('macs_ips'!$A$2:$A$403)-ROW(INDEX('macs_ips'!$A$2:$A$403,1,1))+1)/('macs_ips'!$E$2:$E$403=$J$1),ROW(A5))),"")</f>
        <v/>
      </c>
    </row>
    <row r="8">
      <c r="A8" s="40">
        <f>IFERROR(INDEX('macs_ips'!$A$2:$A$403,AGGREGATE(15,6,(ROW('macs_ips'!$A$2:$A$403)-ROW(INDEX('macs_ips'!$A$2:$A$403,1,1))+1)/('macs_ips'!$E$2:$E$403=$J$1),ROW(A6))),"")</f>
        <v/>
      </c>
      <c r="B8" s="40">
        <f>IFERROR(INDEX('macs_ips'!$B$2:$B$403,AGGREGATE(15,6,(ROW('macs_ips'!$A$2:$A$403)-ROW(INDEX('macs_ips'!$A$2:$A$403,1,1))+1)/('macs_ips'!$E$2:$E$403=$J$1),ROW(A6))),"")</f>
        <v/>
      </c>
      <c r="C8" s="40">
        <f>IFERROR(INDEX('macs_ips'!$C$2:$C$403,AGGREGATE(15,6,(ROW('macs_ips'!$A$2:$A$403)-ROW(INDEX('macs_ips'!$A$2:$A$403,1,1))+1)/('macs_ips'!$E$2:$E$403=$J$1),ROW(A6))),"")</f>
        <v/>
      </c>
      <c r="D8" s="41">
        <f>IFERROR(INDEX('macs_ips'!$D$2:$D$403,AGGREGATE(15,6,(ROW('macs_ips'!$A$2:$A$403)-ROW(INDEX('macs_ips'!$A$2:$A$403,1,1))+1)/('macs_ips'!$E$2:$E$403=$J$1),ROW(A6))),"")</f>
        <v/>
      </c>
      <c r="E8" s="40">
        <f>IFERROR(INDEX('macs_ips'!$E$2:$E$403,AGGREGATE(15,6,(ROW('macs_ips'!$A$2:$A$403)-ROW(INDEX('macs_ips'!$A$2:$A$403,1,1))+1)/('macs_ips'!$E$2:$E$403=$J$1),ROW(A6))),"")</f>
        <v/>
      </c>
      <c r="F8" s="41">
        <f>IFERROR(INDEX('macs_ips'!$F$2:$F$403,AGGREGATE(15,6,(ROW('macs_ips'!$A$2:$A$403)-ROW(INDEX('macs_ips'!$A$2:$A$403,1,1))+1)/('macs_ips'!$E$2:$E$403=$J$1),ROW(A6))),"")</f>
        <v/>
      </c>
      <c r="G8" s="40">
        <f>IFERROR(INDEX('macs_ips'!$G$2:$G$403,AGGREGATE(15,6,(ROW('macs_ips'!$A$2:$A$403)-ROW(INDEX('macs_ips'!$A$2:$A$403,1,1))+1)/('macs_ips'!$E$2:$E$403=$J$1),ROW(A6))),"")</f>
        <v/>
      </c>
    </row>
    <row r="9">
      <c r="A9" s="40">
        <f>IFERROR(INDEX('macs_ips'!$A$2:$A$403,AGGREGATE(15,6,(ROW('macs_ips'!$A$2:$A$403)-ROW(INDEX('macs_ips'!$A$2:$A$403,1,1))+1)/('macs_ips'!$E$2:$E$403=$J$1),ROW(A7))),"")</f>
        <v/>
      </c>
      <c r="B9" s="40">
        <f>IFERROR(INDEX('macs_ips'!$B$2:$B$403,AGGREGATE(15,6,(ROW('macs_ips'!$A$2:$A$403)-ROW(INDEX('macs_ips'!$A$2:$A$403,1,1))+1)/('macs_ips'!$E$2:$E$403=$J$1),ROW(A7))),"")</f>
        <v/>
      </c>
      <c r="C9" s="40">
        <f>IFERROR(INDEX('macs_ips'!$C$2:$C$403,AGGREGATE(15,6,(ROW('macs_ips'!$A$2:$A$403)-ROW(INDEX('macs_ips'!$A$2:$A$403,1,1))+1)/('macs_ips'!$E$2:$E$403=$J$1),ROW(A7))),"")</f>
        <v/>
      </c>
      <c r="D9" s="41">
        <f>IFERROR(INDEX('macs_ips'!$D$2:$D$403,AGGREGATE(15,6,(ROW('macs_ips'!$A$2:$A$403)-ROW(INDEX('macs_ips'!$A$2:$A$403,1,1))+1)/('macs_ips'!$E$2:$E$403=$J$1),ROW(A7))),"")</f>
        <v/>
      </c>
      <c r="E9" s="40">
        <f>IFERROR(INDEX('macs_ips'!$E$2:$E$403,AGGREGATE(15,6,(ROW('macs_ips'!$A$2:$A$403)-ROW(INDEX('macs_ips'!$A$2:$A$403,1,1))+1)/('macs_ips'!$E$2:$E$403=$J$1),ROW(A7))),"")</f>
        <v/>
      </c>
      <c r="F9" s="41">
        <f>IFERROR(INDEX('macs_ips'!$F$2:$F$403,AGGREGATE(15,6,(ROW('macs_ips'!$A$2:$A$403)-ROW(INDEX('macs_ips'!$A$2:$A$403,1,1))+1)/('macs_ips'!$E$2:$E$403=$J$1),ROW(A7))),"")</f>
        <v/>
      </c>
      <c r="G9" s="40">
        <f>IFERROR(INDEX('macs_ips'!$G$2:$G$403,AGGREGATE(15,6,(ROW('macs_ips'!$A$2:$A$403)-ROW(INDEX('macs_ips'!$A$2:$A$403,1,1))+1)/('macs_ips'!$E$2:$E$403=$J$1),ROW(A7))),"")</f>
        <v/>
      </c>
    </row>
    <row r="10">
      <c r="A10" s="40">
        <f>IFERROR(INDEX('macs_ips'!$A$2:$A$403,AGGREGATE(15,6,(ROW('macs_ips'!$A$2:$A$403)-ROW(INDEX('macs_ips'!$A$2:$A$403,1,1))+1)/('macs_ips'!$E$2:$E$403=$J$1),ROW(A8))),"")</f>
        <v/>
      </c>
      <c r="B10" s="40">
        <f>IFERROR(INDEX('macs_ips'!$B$2:$B$403,AGGREGATE(15,6,(ROW('macs_ips'!$A$2:$A$403)-ROW(INDEX('macs_ips'!$A$2:$A$403,1,1))+1)/('macs_ips'!$E$2:$E$403=$J$1),ROW(A8))),"")</f>
        <v/>
      </c>
      <c r="C10" s="40">
        <f>IFERROR(INDEX('macs_ips'!$C$2:$C$403,AGGREGATE(15,6,(ROW('macs_ips'!$A$2:$A$403)-ROW(INDEX('macs_ips'!$A$2:$A$403,1,1))+1)/('macs_ips'!$E$2:$E$403=$J$1),ROW(A8))),"")</f>
        <v/>
      </c>
      <c r="D10" s="41">
        <f>IFERROR(INDEX('macs_ips'!$D$2:$D$403,AGGREGATE(15,6,(ROW('macs_ips'!$A$2:$A$403)-ROW(INDEX('macs_ips'!$A$2:$A$403,1,1))+1)/('macs_ips'!$E$2:$E$403=$J$1),ROW(A8))),"")</f>
        <v/>
      </c>
      <c r="E10" s="40">
        <f>IFERROR(INDEX('macs_ips'!$E$2:$E$403,AGGREGATE(15,6,(ROW('macs_ips'!$A$2:$A$403)-ROW(INDEX('macs_ips'!$A$2:$A$403,1,1))+1)/('macs_ips'!$E$2:$E$403=$J$1),ROW(A8))),"")</f>
        <v/>
      </c>
      <c r="F10" s="41">
        <f>IFERROR(INDEX('macs_ips'!$F$2:$F$403,AGGREGATE(15,6,(ROW('macs_ips'!$A$2:$A$403)-ROW(INDEX('macs_ips'!$A$2:$A$403,1,1))+1)/('macs_ips'!$E$2:$E$403=$J$1),ROW(A8))),"")</f>
        <v/>
      </c>
      <c r="G10" s="40">
        <f>IFERROR(INDEX('macs_ips'!$G$2:$G$403,AGGREGATE(15,6,(ROW('macs_ips'!$A$2:$A$403)-ROW(INDEX('macs_ips'!$A$2:$A$403,1,1))+1)/('macs_ips'!$E$2:$E$403=$J$1),ROW(A8))),"")</f>
        <v/>
      </c>
    </row>
    <row r="11">
      <c r="A11" s="40">
        <f>IFERROR(INDEX('macs_ips'!$A$2:$A$403,AGGREGATE(15,6,(ROW('macs_ips'!$A$2:$A$403)-ROW(INDEX('macs_ips'!$A$2:$A$403,1,1))+1)/('macs_ips'!$E$2:$E$403=$J$1),ROW(A9))),"")</f>
        <v/>
      </c>
      <c r="B11" s="40">
        <f>IFERROR(INDEX('macs_ips'!$B$2:$B$403,AGGREGATE(15,6,(ROW('macs_ips'!$A$2:$A$403)-ROW(INDEX('macs_ips'!$A$2:$A$403,1,1))+1)/('macs_ips'!$E$2:$E$403=$J$1),ROW(A9))),"")</f>
        <v/>
      </c>
      <c r="C11" s="40">
        <f>IFERROR(INDEX('macs_ips'!$C$2:$C$403,AGGREGATE(15,6,(ROW('macs_ips'!$A$2:$A$403)-ROW(INDEX('macs_ips'!$A$2:$A$403,1,1))+1)/('macs_ips'!$E$2:$E$403=$J$1),ROW(A9))),"")</f>
        <v/>
      </c>
      <c r="D11" s="41">
        <f>IFERROR(INDEX('macs_ips'!$D$2:$D$403,AGGREGATE(15,6,(ROW('macs_ips'!$A$2:$A$403)-ROW(INDEX('macs_ips'!$A$2:$A$403,1,1))+1)/('macs_ips'!$E$2:$E$403=$J$1),ROW(A9))),"")</f>
        <v/>
      </c>
      <c r="E11" s="40">
        <f>IFERROR(INDEX('macs_ips'!$E$2:$E$403,AGGREGATE(15,6,(ROW('macs_ips'!$A$2:$A$403)-ROW(INDEX('macs_ips'!$A$2:$A$403,1,1))+1)/('macs_ips'!$E$2:$E$403=$J$1),ROW(A9))),"")</f>
        <v/>
      </c>
      <c r="F11" s="41">
        <f>IFERROR(INDEX('macs_ips'!$F$2:$F$403,AGGREGATE(15,6,(ROW('macs_ips'!$A$2:$A$403)-ROW(INDEX('macs_ips'!$A$2:$A$403,1,1))+1)/('macs_ips'!$E$2:$E$403=$J$1),ROW(A9))),"")</f>
        <v/>
      </c>
      <c r="G11" s="40">
        <f>IFERROR(INDEX('macs_ips'!$G$2:$G$403,AGGREGATE(15,6,(ROW('macs_ips'!$A$2:$A$403)-ROW(INDEX('macs_ips'!$A$2:$A$403,1,1))+1)/('macs_ips'!$E$2:$E$403=$J$1),ROW(A9))),"")</f>
        <v/>
      </c>
    </row>
    <row r="12">
      <c r="A12" s="40">
        <f>IFERROR(INDEX('macs_ips'!$A$2:$A$403,AGGREGATE(15,6,(ROW('macs_ips'!$A$2:$A$403)-ROW(INDEX('macs_ips'!$A$2:$A$403,1,1))+1)/('macs_ips'!$E$2:$E$403=$J$1),ROW(A10))),"")</f>
        <v/>
      </c>
      <c r="B12" s="40">
        <f>IFERROR(INDEX('macs_ips'!$B$2:$B$403,AGGREGATE(15,6,(ROW('macs_ips'!$A$2:$A$403)-ROW(INDEX('macs_ips'!$A$2:$A$403,1,1))+1)/('macs_ips'!$E$2:$E$403=$J$1),ROW(A10))),"")</f>
        <v/>
      </c>
      <c r="C12" s="40">
        <f>IFERROR(INDEX('macs_ips'!$C$2:$C$403,AGGREGATE(15,6,(ROW('macs_ips'!$A$2:$A$403)-ROW(INDEX('macs_ips'!$A$2:$A$403,1,1))+1)/('macs_ips'!$E$2:$E$403=$J$1),ROW(A10))),"")</f>
        <v/>
      </c>
      <c r="D12" s="41">
        <f>IFERROR(INDEX('macs_ips'!$D$2:$D$403,AGGREGATE(15,6,(ROW('macs_ips'!$A$2:$A$403)-ROW(INDEX('macs_ips'!$A$2:$A$403,1,1))+1)/('macs_ips'!$E$2:$E$403=$J$1),ROW(A10))),"")</f>
        <v/>
      </c>
      <c r="E12" s="40">
        <f>IFERROR(INDEX('macs_ips'!$E$2:$E$403,AGGREGATE(15,6,(ROW('macs_ips'!$A$2:$A$403)-ROW(INDEX('macs_ips'!$A$2:$A$403,1,1))+1)/('macs_ips'!$E$2:$E$403=$J$1),ROW(A10))),"")</f>
        <v/>
      </c>
      <c r="F12" s="41">
        <f>IFERROR(INDEX('macs_ips'!$F$2:$F$403,AGGREGATE(15,6,(ROW('macs_ips'!$A$2:$A$403)-ROW(INDEX('macs_ips'!$A$2:$A$403,1,1))+1)/('macs_ips'!$E$2:$E$403=$J$1),ROW(A10))),"")</f>
        <v/>
      </c>
      <c r="G12" s="40">
        <f>IFERROR(INDEX('macs_ips'!$G$2:$G$403,AGGREGATE(15,6,(ROW('macs_ips'!$A$2:$A$403)-ROW(INDEX('macs_ips'!$A$2:$A$403,1,1))+1)/('macs_ips'!$E$2:$E$403=$J$1),ROW(A10))),"")</f>
        <v/>
      </c>
    </row>
    <row r="13">
      <c r="A13" s="40">
        <f>IFERROR(INDEX('macs_ips'!$A$2:$A$403,AGGREGATE(15,6,(ROW('macs_ips'!$A$2:$A$403)-ROW(INDEX('macs_ips'!$A$2:$A$403,1,1))+1)/('macs_ips'!$E$2:$E$403=$J$1),ROW(A11))),"")</f>
        <v/>
      </c>
      <c r="B13" s="40">
        <f>IFERROR(INDEX('macs_ips'!$B$2:$B$403,AGGREGATE(15,6,(ROW('macs_ips'!$A$2:$A$403)-ROW(INDEX('macs_ips'!$A$2:$A$403,1,1))+1)/('macs_ips'!$E$2:$E$403=$J$1),ROW(A11))),"")</f>
        <v/>
      </c>
      <c r="C13" s="40">
        <f>IFERROR(INDEX('macs_ips'!$C$2:$C$403,AGGREGATE(15,6,(ROW('macs_ips'!$A$2:$A$403)-ROW(INDEX('macs_ips'!$A$2:$A$403,1,1))+1)/('macs_ips'!$E$2:$E$403=$J$1),ROW(A11))),"")</f>
        <v/>
      </c>
      <c r="D13" s="41">
        <f>IFERROR(INDEX('macs_ips'!$D$2:$D$403,AGGREGATE(15,6,(ROW('macs_ips'!$A$2:$A$403)-ROW(INDEX('macs_ips'!$A$2:$A$403,1,1))+1)/('macs_ips'!$E$2:$E$403=$J$1),ROW(A11))),"")</f>
        <v/>
      </c>
      <c r="E13" s="40">
        <f>IFERROR(INDEX('macs_ips'!$E$2:$E$403,AGGREGATE(15,6,(ROW('macs_ips'!$A$2:$A$403)-ROW(INDEX('macs_ips'!$A$2:$A$403,1,1))+1)/('macs_ips'!$E$2:$E$403=$J$1),ROW(A11))),"")</f>
        <v/>
      </c>
      <c r="F13" s="41">
        <f>IFERROR(INDEX('macs_ips'!$F$2:$F$403,AGGREGATE(15,6,(ROW('macs_ips'!$A$2:$A$403)-ROW(INDEX('macs_ips'!$A$2:$A$403,1,1))+1)/('macs_ips'!$E$2:$E$403=$J$1),ROW(A11))),"")</f>
        <v/>
      </c>
      <c r="G13" s="40">
        <f>IFERROR(INDEX('macs_ips'!$G$2:$G$403,AGGREGATE(15,6,(ROW('macs_ips'!$A$2:$A$403)-ROW(INDEX('macs_ips'!$A$2:$A$403,1,1))+1)/('macs_ips'!$E$2:$E$403=$J$1),ROW(A11))),"")</f>
        <v/>
      </c>
    </row>
    <row r="14">
      <c r="A14" s="40">
        <f>IFERROR(INDEX('macs_ips'!$A$2:$A$403,AGGREGATE(15,6,(ROW('macs_ips'!$A$2:$A$403)-ROW(INDEX('macs_ips'!$A$2:$A$403,1,1))+1)/('macs_ips'!$E$2:$E$403=$J$1),ROW(A12))),"")</f>
        <v/>
      </c>
      <c r="B14" s="40">
        <f>IFERROR(INDEX('macs_ips'!$B$2:$B$403,AGGREGATE(15,6,(ROW('macs_ips'!$A$2:$A$403)-ROW(INDEX('macs_ips'!$A$2:$A$403,1,1))+1)/('macs_ips'!$E$2:$E$403=$J$1),ROW(A12))),"")</f>
        <v/>
      </c>
      <c r="C14" s="40">
        <f>IFERROR(INDEX('macs_ips'!$C$2:$C$403,AGGREGATE(15,6,(ROW('macs_ips'!$A$2:$A$403)-ROW(INDEX('macs_ips'!$A$2:$A$403,1,1))+1)/('macs_ips'!$E$2:$E$403=$J$1),ROW(A12))),"")</f>
        <v/>
      </c>
      <c r="D14" s="41">
        <f>IFERROR(INDEX('macs_ips'!$D$2:$D$403,AGGREGATE(15,6,(ROW('macs_ips'!$A$2:$A$403)-ROW(INDEX('macs_ips'!$A$2:$A$403,1,1))+1)/('macs_ips'!$E$2:$E$403=$J$1),ROW(A12))),"")</f>
        <v/>
      </c>
      <c r="E14" s="40">
        <f>IFERROR(INDEX('macs_ips'!$E$2:$E$403,AGGREGATE(15,6,(ROW('macs_ips'!$A$2:$A$403)-ROW(INDEX('macs_ips'!$A$2:$A$403,1,1))+1)/('macs_ips'!$E$2:$E$403=$J$1),ROW(A12))),"")</f>
        <v/>
      </c>
      <c r="F14" s="41">
        <f>IFERROR(INDEX('macs_ips'!$F$2:$F$403,AGGREGATE(15,6,(ROW('macs_ips'!$A$2:$A$403)-ROW(INDEX('macs_ips'!$A$2:$A$403,1,1))+1)/('macs_ips'!$E$2:$E$403=$J$1),ROW(A12))),"")</f>
        <v/>
      </c>
      <c r="G14" s="40">
        <f>IFERROR(INDEX('macs_ips'!$G$2:$G$403,AGGREGATE(15,6,(ROW('macs_ips'!$A$2:$A$403)-ROW(INDEX('macs_ips'!$A$2:$A$403,1,1))+1)/('macs_ips'!$E$2:$E$403=$J$1),ROW(A12))),"")</f>
        <v/>
      </c>
    </row>
    <row r="15">
      <c r="A15" s="40">
        <f>IFERROR(INDEX('macs_ips'!$A$2:$A$403,AGGREGATE(15,6,(ROW('macs_ips'!$A$2:$A$403)-ROW(INDEX('macs_ips'!$A$2:$A$403,1,1))+1)/('macs_ips'!$E$2:$E$403=$J$1),ROW(A13))),"")</f>
        <v/>
      </c>
      <c r="B15" s="40">
        <f>IFERROR(INDEX('macs_ips'!$B$2:$B$403,AGGREGATE(15,6,(ROW('macs_ips'!$A$2:$A$403)-ROW(INDEX('macs_ips'!$A$2:$A$403,1,1))+1)/('macs_ips'!$E$2:$E$403=$J$1),ROW(A13))),"")</f>
        <v/>
      </c>
      <c r="C15" s="40">
        <f>IFERROR(INDEX('macs_ips'!$C$2:$C$403,AGGREGATE(15,6,(ROW('macs_ips'!$A$2:$A$403)-ROW(INDEX('macs_ips'!$A$2:$A$403,1,1))+1)/('macs_ips'!$E$2:$E$403=$J$1),ROW(A13))),"")</f>
        <v/>
      </c>
      <c r="D15" s="41">
        <f>IFERROR(INDEX('macs_ips'!$D$2:$D$403,AGGREGATE(15,6,(ROW('macs_ips'!$A$2:$A$403)-ROW(INDEX('macs_ips'!$A$2:$A$403,1,1))+1)/('macs_ips'!$E$2:$E$403=$J$1),ROW(A13))),"")</f>
        <v/>
      </c>
      <c r="E15" s="40">
        <f>IFERROR(INDEX('macs_ips'!$E$2:$E$403,AGGREGATE(15,6,(ROW('macs_ips'!$A$2:$A$403)-ROW(INDEX('macs_ips'!$A$2:$A$403,1,1))+1)/('macs_ips'!$E$2:$E$403=$J$1),ROW(A13))),"")</f>
        <v/>
      </c>
      <c r="F15" s="41">
        <f>IFERROR(INDEX('macs_ips'!$F$2:$F$403,AGGREGATE(15,6,(ROW('macs_ips'!$A$2:$A$403)-ROW(INDEX('macs_ips'!$A$2:$A$403,1,1))+1)/('macs_ips'!$E$2:$E$403=$J$1),ROW(A13))),"")</f>
        <v/>
      </c>
      <c r="G15" s="40">
        <f>IFERROR(INDEX('macs_ips'!$G$2:$G$403,AGGREGATE(15,6,(ROW('macs_ips'!$A$2:$A$403)-ROW(INDEX('macs_ips'!$A$2:$A$403,1,1))+1)/('macs_ips'!$E$2:$E$403=$J$1),ROW(A13))),"")</f>
        <v/>
      </c>
    </row>
    <row r="16">
      <c r="A16" s="40">
        <f>IFERROR(INDEX('macs_ips'!$A$2:$A$403,AGGREGATE(15,6,(ROW('macs_ips'!$A$2:$A$403)-ROW(INDEX('macs_ips'!$A$2:$A$403,1,1))+1)/('macs_ips'!$E$2:$E$403=$J$1),ROW(A14))),"")</f>
        <v/>
      </c>
      <c r="B16" s="40">
        <f>IFERROR(INDEX('macs_ips'!$B$2:$B$403,AGGREGATE(15,6,(ROW('macs_ips'!$A$2:$A$403)-ROW(INDEX('macs_ips'!$A$2:$A$403,1,1))+1)/('macs_ips'!$E$2:$E$403=$J$1),ROW(A14))),"")</f>
        <v/>
      </c>
      <c r="C16" s="40">
        <f>IFERROR(INDEX('macs_ips'!$C$2:$C$403,AGGREGATE(15,6,(ROW('macs_ips'!$A$2:$A$403)-ROW(INDEX('macs_ips'!$A$2:$A$403,1,1))+1)/('macs_ips'!$E$2:$E$403=$J$1),ROW(A14))),"")</f>
        <v/>
      </c>
      <c r="D16" s="41">
        <f>IFERROR(INDEX('macs_ips'!$D$2:$D$403,AGGREGATE(15,6,(ROW('macs_ips'!$A$2:$A$403)-ROW(INDEX('macs_ips'!$A$2:$A$403,1,1))+1)/('macs_ips'!$E$2:$E$403=$J$1),ROW(A14))),"")</f>
        <v/>
      </c>
      <c r="E16" s="40">
        <f>IFERROR(INDEX('macs_ips'!$E$2:$E$403,AGGREGATE(15,6,(ROW('macs_ips'!$A$2:$A$403)-ROW(INDEX('macs_ips'!$A$2:$A$403,1,1))+1)/('macs_ips'!$E$2:$E$403=$J$1),ROW(A14))),"")</f>
        <v/>
      </c>
      <c r="F16" s="41">
        <f>IFERROR(INDEX('macs_ips'!$F$2:$F$403,AGGREGATE(15,6,(ROW('macs_ips'!$A$2:$A$403)-ROW(INDEX('macs_ips'!$A$2:$A$403,1,1))+1)/('macs_ips'!$E$2:$E$403=$J$1),ROW(A14))),"")</f>
        <v/>
      </c>
      <c r="G16" s="40">
        <f>IFERROR(INDEX('macs_ips'!$G$2:$G$403,AGGREGATE(15,6,(ROW('macs_ips'!$A$2:$A$403)-ROW(INDEX('macs_ips'!$A$2:$A$403,1,1))+1)/('macs_ips'!$E$2:$E$403=$J$1),ROW(A14))),"")</f>
        <v/>
      </c>
    </row>
    <row r="17">
      <c r="A17" s="40">
        <f>IFERROR(INDEX('macs_ips'!$A$2:$A$403,AGGREGATE(15,6,(ROW('macs_ips'!$A$2:$A$403)-ROW(INDEX('macs_ips'!$A$2:$A$403,1,1))+1)/('macs_ips'!$E$2:$E$403=$J$1),ROW(A15))),"")</f>
        <v/>
      </c>
      <c r="B17" s="40">
        <f>IFERROR(INDEX('macs_ips'!$B$2:$B$403,AGGREGATE(15,6,(ROW('macs_ips'!$A$2:$A$403)-ROW(INDEX('macs_ips'!$A$2:$A$403,1,1))+1)/('macs_ips'!$E$2:$E$403=$J$1),ROW(A15))),"")</f>
        <v/>
      </c>
      <c r="C17" s="40">
        <f>IFERROR(INDEX('macs_ips'!$C$2:$C$403,AGGREGATE(15,6,(ROW('macs_ips'!$A$2:$A$403)-ROW(INDEX('macs_ips'!$A$2:$A$403,1,1))+1)/('macs_ips'!$E$2:$E$403=$J$1),ROW(A15))),"")</f>
        <v/>
      </c>
      <c r="D17" s="41">
        <f>IFERROR(INDEX('macs_ips'!$D$2:$D$403,AGGREGATE(15,6,(ROW('macs_ips'!$A$2:$A$403)-ROW(INDEX('macs_ips'!$A$2:$A$403,1,1))+1)/('macs_ips'!$E$2:$E$403=$J$1),ROW(A15))),"")</f>
        <v/>
      </c>
      <c r="E17" s="40">
        <f>IFERROR(INDEX('macs_ips'!$E$2:$E$403,AGGREGATE(15,6,(ROW('macs_ips'!$A$2:$A$403)-ROW(INDEX('macs_ips'!$A$2:$A$403,1,1))+1)/('macs_ips'!$E$2:$E$403=$J$1),ROW(A15))),"")</f>
        <v/>
      </c>
      <c r="F17" s="41">
        <f>IFERROR(INDEX('macs_ips'!$F$2:$F$403,AGGREGATE(15,6,(ROW('macs_ips'!$A$2:$A$403)-ROW(INDEX('macs_ips'!$A$2:$A$403,1,1))+1)/('macs_ips'!$E$2:$E$403=$J$1),ROW(A15))),"")</f>
        <v/>
      </c>
      <c r="G17" s="40">
        <f>IFERROR(INDEX('macs_ips'!$G$2:$G$403,AGGREGATE(15,6,(ROW('macs_ips'!$A$2:$A$403)-ROW(INDEX('macs_ips'!$A$2:$A$403,1,1))+1)/('macs_ips'!$E$2:$E$403=$J$1),ROW(A15))),"")</f>
        <v/>
      </c>
    </row>
    <row r="18">
      <c r="A18" s="40">
        <f>IFERROR(INDEX('macs_ips'!$A$2:$A$403,AGGREGATE(15,6,(ROW('macs_ips'!$A$2:$A$403)-ROW(INDEX('macs_ips'!$A$2:$A$403,1,1))+1)/('macs_ips'!$E$2:$E$403=$J$1),ROW(A16))),"")</f>
        <v/>
      </c>
      <c r="B18" s="40">
        <f>IFERROR(INDEX('macs_ips'!$B$2:$B$403,AGGREGATE(15,6,(ROW('macs_ips'!$A$2:$A$403)-ROW(INDEX('macs_ips'!$A$2:$A$403,1,1))+1)/('macs_ips'!$E$2:$E$403=$J$1),ROW(A16))),"")</f>
        <v/>
      </c>
      <c r="C18" s="40">
        <f>IFERROR(INDEX('macs_ips'!$C$2:$C$403,AGGREGATE(15,6,(ROW('macs_ips'!$A$2:$A$403)-ROW(INDEX('macs_ips'!$A$2:$A$403,1,1))+1)/('macs_ips'!$E$2:$E$403=$J$1),ROW(A16))),"")</f>
        <v/>
      </c>
      <c r="D18" s="41">
        <f>IFERROR(INDEX('macs_ips'!$D$2:$D$403,AGGREGATE(15,6,(ROW('macs_ips'!$A$2:$A$403)-ROW(INDEX('macs_ips'!$A$2:$A$403,1,1))+1)/('macs_ips'!$E$2:$E$403=$J$1),ROW(A16))),"")</f>
        <v/>
      </c>
      <c r="E18" s="40">
        <f>IFERROR(INDEX('macs_ips'!$E$2:$E$403,AGGREGATE(15,6,(ROW('macs_ips'!$A$2:$A$403)-ROW(INDEX('macs_ips'!$A$2:$A$403,1,1))+1)/('macs_ips'!$E$2:$E$403=$J$1),ROW(A16))),"")</f>
        <v/>
      </c>
      <c r="F18" s="41">
        <f>IFERROR(INDEX('macs_ips'!$F$2:$F$403,AGGREGATE(15,6,(ROW('macs_ips'!$A$2:$A$403)-ROW(INDEX('macs_ips'!$A$2:$A$403,1,1))+1)/('macs_ips'!$E$2:$E$403=$J$1),ROW(A16))),"")</f>
        <v/>
      </c>
      <c r="G18" s="40">
        <f>IFERROR(INDEX('macs_ips'!$G$2:$G$403,AGGREGATE(15,6,(ROW('macs_ips'!$A$2:$A$403)-ROW(INDEX('macs_ips'!$A$2:$A$403,1,1))+1)/('macs_ips'!$E$2:$E$403=$J$1),ROW(A16))),"")</f>
        <v/>
      </c>
    </row>
    <row r="19">
      <c r="A19" s="40">
        <f>IFERROR(INDEX('macs_ips'!$A$2:$A$403,AGGREGATE(15,6,(ROW('macs_ips'!$A$2:$A$403)-ROW(INDEX('macs_ips'!$A$2:$A$403,1,1))+1)/('macs_ips'!$E$2:$E$403=$J$1),ROW(A17))),"")</f>
        <v/>
      </c>
      <c r="B19" s="40">
        <f>IFERROR(INDEX('macs_ips'!$B$2:$B$403,AGGREGATE(15,6,(ROW('macs_ips'!$A$2:$A$403)-ROW(INDEX('macs_ips'!$A$2:$A$403,1,1))+1)/('macs_ips'!$E$2:$E$403=$J$1),ROW(A17))),"")</f>
        <v/>
      </c>
      <c r="C19" s="40">
        <f>IFERROR(INDEX('macs_ips'!$C$2:$C$403,AGGREGATE(15,6,(ROW('macs_ips'!$A$2:$A$403)-ROW(INDEX('macs_ips'!$A$2:$A$403,1,1))+1)/('macs_ips'!$E$2:$E$403=$J$1),ROW(A17))),"")</f>
        <v/>
      </c>
      <c r="D19" s="41">
        <f>IFERROR(INDEX('macs_ips'!$D$2:$D$403,AGGREGATE(15,6,(ROW('macs_ips'!$A$2:$A$403)-ROW(INDEX('macs_ips'!$A$2:$A$403,1,1))+1)/('macs_ips'!$E$2:$E$403=$J$1),ROW(A17))),"")</f>
        <v/>
      </c>
      <c r="E19" s="40">
        <f>IFERROR(INDEX('macs_ips'!$E$2:$E$403,AGGREGATE(15,6,(ROW('macs_ips'!$A$2:$A$403)-ROW(INDEX('macs_ips'!$A$2:$A$403,1,1))+1)/('macs_ips'!$E$2:$E$403=$J$1),ROW(A17))),"")</f>
        <v/>
      </c>
      <c r="F19" s="41">
        <f>IFERROR(INDEX('macs_ips'!$F$2:$F$403,AGGREGATE(15,6,(ROW('macs_ips'!$A$2:$A$403)-ROW(INDEX('macs_ips'!$A$2:$A$403,1,1))+1)/('macs_ips'!$E$2:$E$403=$J$1),ROW(A17))),"")</f>
        <v/>
      </c>
      <c r="G19" s="40">
        <f>IFERROR(INDEX('macs_ips'!$G$2:$G$403,AGGREGATE(15,6,(ROW('macs_ips'!$A$2:$A$403)-ROW(INDEX('macs_ips'!$A$2:$A$403,1,1))+1)/('macs_ips'!$E$2:$E$403=$J$1),ROW(A17))),"")</f>
        <v/>
      </c>
    </row>
    <row r="20">
      <c r="A20" s="40">
        <f>IFERROR(INDEX('macs_ips'!$A$2:$A$403,AGGREGATE(15,6,(ROW('macs_ips'!$A$2:$A$403)-ROW(INDEX('macs_ips'!$A$2:$A$403,1,1))+1)/('macs_ips'!$E$2:$E$403=$J$1),ROW(A18))),"")</f>
        <v/>
      </c>
      <c r="B20" s="40">
        <f>IFERROR(INDEX('macs_ips'!$B$2:$B$403,AGGREGATE(15,6,(ROW('macs_ips'!$A$2:$A$403)-ROW(INDEX('macs_ips'!$A$2:$A$403,1,1))+1)/('macs_ips'!$E$2:$E$403=$J$1),ROW(A18))),"")</f>
        <v/>
      </c>
      <c r="C20" s="40">
        <f>IFERROR(INDEX('macs_ips'!$C$2:$C$403,AGGREGATE(15,6,(ROW('macs_ips'!$A$2:$A$403)-ROW(INDEX('macs_ips'!$A$2:$A$403,1,1))+1)/('macs_ips'!$E$2:$E$403=$J$1),ROW(A18))),"")</f>
        <v/>
      </c>
      <c r="D20" s="41">
        <f>IFERROR(INDEX('macs_ips'!$D$2:$D$403,AGGREGATE(15,6,(ROW('macs_ips'!$A$2:$A$403)-ROW(INDEX('macs_ips'!$A$2:$A$403,1,1))+1)/('macs_ips'!$E$2:$E$403=$J$1),ROW(A18))),"")</f>
        <v/>
      </c>
      <c r="E20" s="40">
        <f>IFERROR(INDEX('macs_ips'!$E$2:$E$403,AGGREGATE(15,6,(ROW('macs_ips'!$A$2:$A$403)-ROW(INDEX('macs_ips'!$A$2:$A$403,1,1))+1)/('macs_ips'!$E$2:$E$403=$J$1),ROW(A18))),"")</f>
        <v/>
      </c>
      <c r="F20" s="41">
        <f>IFERROR(INDEX('macs_ips'!$F$2:$F$403,AGGREGATE(15,6,(ROW('macs_ips'!$A$2:$A$403)-ROW(INDEX('macs_ips'!$A$2:$A$403,1,1))+1)/('macs_ips'!$E$2:$E$403=$J$1),ROW(A18))),"")</f>
        <v/>
      </c>
      <c r="G20" s="40">
        <f>IFERROR(INDEX('macs_ips'!$G$2:$G$403,AGGREGATE(15,6,(ROW('macs_ips'!$A$2:$A$403)-ROW(INDEX('macs_ips'!$A$2:$A$403,1,1))+1)/('macs_ips'!$E$2:$E$403=$J$1),ROW(A18))),"")</f>
        <v/>
      </c>
    </row>
    <row r="21">
      <c r="A21" s="40">
        <f>IFERROR(INDEX('macs_ips'!$A$2:$A$403,AGGREGATE(15,6,(ROW('macs_ips'!$A$2:$A$403)-ROW(INDEX('macs_ips'!$A$2:$A$403,1,1))+1)/('macs_ips'!$E$2:$E$403=$J$1),ROW(A19))),"")</f>
        <v/>
      </c>
      <c r="B21" s="40">
        <f>IFERROR(INDEX('macs_ips'!$B$2:$B$403,AGGREGATE(15,6,(ROW('macs_ips'!$A$2:$A$403)-ROW(INDEX('macs_ips'!$A$2:$A$403,1,1))+1)/('macs_ips'!$E$2:$E$403=$J$1),ROW(A19))),"")</f>
        <v/>
      </c>
      <c r="C21" s="40">
        <f>IFERROR(INDEX('macs_ips'!$C$2:$C$403,AGGREGATE(15,6,(ROW('macs_ips'!$A$2:$A$403)-ROW(INDEX('macs_ips'!$A$2:$A$403,1,1))+1)/('macs_ips'!$E$2:$E$403=$J$1),ROW(A19))),"")</f>
        <v/>
      </c>
      <c r="D21" s="41">
        <f>IFERROR(INDEX('macs_ips'!$D$2:$D$403,AGGREGATE(15,6,(ROW('macs_ips'!$A$2:$A$403)-ROW(INDEX('macs_ips'!$A$2:$A$403,1,1))+1)/('macs_ips'!$E$2:$E$403=$J$1),ROW(A19))),"")</f>
        <v/>
      </c>
      <c r="E21" s="40">
        <f>IFERROR(INDEX('macs_ips'!$E$2:$E$403,AGGREGATE(15,6,(ROW('macs_ips'!$A$2:$A$403)-ROW(INDEX('macs_ips'!$A$2:$A$403,1,1))+1)/('macs_ips'!$E$2:$E$403=$J$1),ROW(A19))),"")</f>
        <v/>
      </c>
      <c r="F21" s="41">
        <f>IFERROR(INDEX('macs_ips'!$F$2:$F$403,AGGREGATE(15,6,(ROW('macs_ips'!$A$2:$A$403)-ROW(INDEX('macs_ips'!$A$2:$A$403,1,1))+1)/('macs_ips'!$E$2:$E$403=$J$1),ROW(A19))),"")</f>
        <v/>
      </c>
      <c r="G21" s="40">
        <f>IFERROR(INDEX('macs_ips'!$G$2:$G$403,AGGREGATE(15,6,(ROW('macs_ips'!$A$2:$A$403)-ROW(INDEX('macs_ips'!$A$2:$A$403,1,1))+1)/('macs_ips'!$E$2:$E$403=$J$1),ROW(A19))),"")</f>
        <v/>
      </c>
    </row>
    <row r="22">
      <c r="A22" s="40">
        <f>IFERROR(INDEX('macs_ips'!$A$2:$A$403,AGGREGATE(15,6,(ROW('macs_ips'!$A$2:$A$403)-ROW(INDEX('macs_ips'!$A$2:$A$403,1,1))+1)/('macs_ips'!$E$2:$E$403=$J$1),ROW(A20))),"")</f>
        <v/>
      </c>
      <c r="B22" s="40">
        <f>IFERROR(INDEX('macs_ips'!$B$2:$B$403,AGGREGATE(15,6,(ROW('macs_ips'!$A$2:$A$403)-ROW(INDEX('macs_ips'!$A$2:$A$403,1,1))+1)/('macs_ips'!$E$2:$E$403=$J$1),ROW(A20))),"")</f>
        <v/>
      </c>
      <c r="C22" s="40">
        <f>IFERROR(INDEX('macs_ips'!$C$2:$C$403,AGGREGATE(15,6,(ROW('macs_ips'!$A$2:$A$403)-ROW(INDEX('macs_ips'!$A$2:$A$403,1,1))+1)/('macs_ips'!$E$2:$E$403=$J$1),ROW(A20))),"")</f>
        <v/>
      </c>
      <c r="D22" s="41">
        <f>IFERROR(INDEX('macs_ips'!$D$2:$D$403,AGGREGATE(15,6,(ROW('macs_ips'!$A$2:$A$403)-ROW(INDEX('macs_ips'!$A$2:$A$403,1,1))+1)/('macs_ips'!$E$2:$E$403=$J$1),ROW(A20))),"")</f>
        <v/>
      </c>
      <c r="E22" s="40">
        <f>IFERROR(INDEX('macs_ips'!$E$2:$E$403,AGGREGATE(15,6,(ROW('macs_ips'!$A$2:$A$403)-ROW(INDEX('macs_ips'!$A$2:$A$403,1,1))+1)/('macs_ips'!$E$2:$E$403=$J$1),ROW(A20))),"")</f>
        <v/>
      </c>
      <c r="F22" s="41">
        <f>IFERROR(INDEX('macs_ips'!$F$2:$F$403,AGGREGATE(15,6,(ROW('macs_ips'!$A$2:$A$403)-ROW(INDEX('macs_ips'!$A$2:$A$403,1,1))+1)/('macs_ips'!$E$2:$E$403=$J$1),ROW(A20))),"")</f>
        <v/>
      </c>
      <c r="G22" s="40">
        <f>IFERROR(INDEX('macs_ips'!$G$2:$G$403,AGGREGATE(15,6,(ROW('macs_ips'!$A$2:$A$403)-ROW(INDEX('macs_ips'!$A$2:$A$403,1,1))+1)/('macs_ips'!$E$2:$E$403=$J$1),ROW(A20))),"")</f>
        <v/>
      </c>
    </row>
    <row r="23">
      <c r="A23" s="40">
        <f>IFERROR(INDEX('macs_ips'!$A$2:$A$403,AGGREGATE(15,6,(ROW('macs_ips'!$A$2:$A$403)-ROW(INDEX('macs_ips'!$A$2:$A$403,1,1))+1)/('macs_ips'!$E$2:$E$403=$J$1),ROW(A21))),"")</f>
        <v/>
      </c>
      <c r="B23" s="40">
        <f>IFERROR(INDEX('macs_ips'!$B$2:$B$403,AGGREGATE(15,6,(ROW('macs_ips'!$A$2:$A$403)-ROW(INDEX('macs_ips'!$A$2:$A$403,1,1))+1)/('macs_ips'!$E$2:$E$403=$J$1),ROW(A21))),"")</f>
        <v/>
      </c>
      <c r="C23" s="40">
        <f>IFERROR(INDEX('macs_ips'!$C$2:$C$403,AGGREGATE(15,6,(ROW('macs_ips'!$A$2:$A$403)-ROW(INDEX('macs_ips'!$A$2:$A$403,1,1))+1)/('macs_ips'!$E$2:$E$403=$J$1),ROW(A21))),"")</f>
        <v/>
      </c>
      <c r="D23" s="41">
        <f>IFERROR(INDEX('macs_ips'!$D$2:$D$403,AGGREGATE(15,6,(ROW('macs_ips'!$A$2:$A$403)-ROW(INDEX('macs_ips'!$A$2:$A$403,1,1))+1)/('macs_ips'!$E$2:$E$403=$J$1),ROW(A21))),"")</f>
        <v/>
      </c>
      <c r="E23" s="40">
        <f>IFERROR(INDEX('macs_ips'!$E$2:$E$403,AGGREGATE(15,6,(ROW('macs_ips'!$A$2:$A$403)-ROW(INDEX('macs_ips'!$A$2:$A$403,1,1))+1)/('macs_ips'!$E$2:$E$403=$J$1),ROW(A21))),"")</f>
        <v/>
      </c>
      <c r="F23" s="41">
        <f>IFERROR(INDEX('macs_ips'!$F$2:$F$403,AGGREGATE(15,6,(ROW('macs_ips'!$A$2:$A$403)-ROW(INDEX('macs_ips'!$A$2:$A$403,1,1))+1)/('macs_ips'!$E$2:$E$403=$J$1),ROW(A21))),"")</f>
        <v/>
      </c>
      <c r="G23" s="40">
        <f>IFERROR(INDEX('macs_ips'!$G$2:$G$403,AGGREGATE(15,6,(ROW('macs_ips'!$A$2:$A$403)-ROW(INDEX('macs_ips'!$A$2:$A$403,1,1))+1)/('macs_ips'!$E$2:$E$403=$J$1),ROW(A21))),"")</f>
        <v/>
      </c>
    </row>
    <row r="24">
      <c r="A24" s="40">
        <f>IFERROR(INDEX('macs_ips'!$A$2:$A$403,AGGREGATE(15,6,(ROW('macs_ips'!$A$2:$A$403)-ROW(INDEX('macs_ips'!$A$2:$A$403,1,1))+1)/('macs_ips'!$E$2:$E$403=$J$1),ROW(A22))),"")</f>
        <v/>
      </c>
      <c r="B24" s="40">
        <f>IFERROR(INDEX('macs_ips'!$B$2:$B$403,AGGREGATE(15,6,(ROW('macs_ips'!$A$2:$A$403)-ROW(INDEX('macs_ips'!$A$2:$A$403,1,1))+1)/('macs_ips'!$E$2:$E$403=$J$1),ROW(A22))),"")</f>
        <v/>
      </c>
      <c r="C24" s="40">
        <f>IFERROR(INDEX('macs_ips'!$C$2:$C$403,AGGREGATE(15,6,(ROW('macs_ips'!$A$2:$A$403)-ROW(INDEX('macs_ips'!$A$2:$A$403,1,1))+1)/('macs_ips'!$E$2:$E$403=$J$1),ROW(A22))),"")</f>
        <v/>
      </c>
      <c r="D24" s="41">
        <f>IFERROR(INDEX('macs_ips'!$D$2:$D$403,AGGREGATE(15,6,(ROW('macs_ips'!$A$2:$A$403)-ROW(INDEX('macs_ips'!$A$2:$A$403,1,1))+1)/('macs_ips'!$E$2:$E$403=$J$1),ROW(A22))),"")</f>
        <v/>
      </c>
      <c r="E24" s="40">
        <f>IFERROR(INDEX('macs_ips'!$E$2:$E$403,AGGREGATE(15,6,(ROW('macs_ips'!$A$2:$A$403)-ROW(INDEX('macs_ips'!$A$2:$A$403,1,1))+1)/('macs_ips'!$E$2:$E$403=$J$1),ROW(A22))),"")</f>
        <v/>
      </c>
      <c r="F24" s="41">
        <f>IFERROR(INDEX('macs_ips'!$F$2:$F$403,AGGREGATE(15,6,(ROW('macs_ips'!$A$2:$A$403)-ROW(INDEX('macs_ips'!$A$2:$A$403,1,1))+1)/('macs_ips'!$E$2:$E$403=$J$1),ROW(A22))),"")</f>
        <v/>
      </c>
      <c r="G24" s="40">
        <f>IFERROR(INDEX('macs_ips'!$G$2:$G$403,AGGREGATE(15,6,(ROW('macs_ips'!$A$2:$A$403)-ROW(INDEX('macs_ips'!$A$2:$A$403,1,1))+1)/('macs_ips'!$E$2:$E$403=$J$1),ROW(A22))),"")</f>
        <v/>
      </c>
    </row>
    <row r="25">
      <c r="A25" s="40">
        <f>IFERROR(INDEX('macs_ips'!$A$2:$A$403,AGGREGATE(15,6,(ROW('macs_ips'!$A$2:$A$403)-ROW(INDEX('macs_ips'!$A$2:$A$403,1,1))+1)/('macs_ips'!$E$2:$E$403=$J$1),ROW(A23))),"")</f>
        <v/>
      </c>
      <c r="B25" s="40">
        <f>IFERROR(INDEX('macs_ips'!$B$2:$B$403,AGGREGATE(15,6,(ROW('macs_ips'!$A$2:$A$403)-ROW(INDEX('macs_ips'!$A$2:$A$403,1,1))+1)/('macs_ips'!$E$2:$E$403=$J$1),ROW(A23))),"")</f>
        <v/>
      </c>
      <c r="C25" s="40">
        <f>IFERROR(INDEX('macs_ips'!$C$2:$C$403,AGGREGATE(15,6,(ROW('macs_ips'!$A$2:$A$403)-ROW(INDEX('macs_ips'!$A$2:$A$403,1,1))+1)/('macs_ips'!$E$2:$E$403=$J$1),ROW(A23))),"")</f>
        <v/>
      </c>
      <c r="D25" s="41">
        <f>IFERROR(INDEX('macs_ips'!$D$2:$D$403,AGGREGATE(15,6,(ROW('macs_ips'!$A$2:$A$403)-ROW(INDEX('macs_ips'!$A$2:$A$403,1,1))+1)/('macs_ips'!$E$2:$E$403=$J$1),ROW(A23))),"")</f>
        <v/>
      </c>
      <c r="E25" s="40">
        <f>IFERROR(INDEX('macs_ips'!$E$2:$E$403,AGGREGATE(15,6,(ROW('macs_ips'!$A$2:$A$403)-ROW(INDEX('macs_ips'!$A$2:$A$403,1,1))+1)/('macs_ips'!$E$2:$E$403=$J$1),ROW(A23))),"")</f>
        <v/>
      </c>
      <c r="F25" s="41">
        <f>IFERROR(INDEX('macs_ips'!$F$2:$F$403,AGGREGATE(15,6,(ROW('macs_ips'!$A$2:$A$403)-ROW(INDEX('macs_ips'!$A$2:$A$403,1,1))+1)/('macs_ips'!$E$2:$E$403=$J$1),ROW(A23))),"")</f>
        <v/>
      </c>
      <c r="G25" s="40">
        <f>IFERROR(INDEX('macs_ips'!$G$2:$G$403,AGGREGATE(15,6,(ROW('macs_ips'!$A$2:$A$403)-ROW(INDEX('macs_ips'!$A$2:$A$403,1,1))+1)/('macs_ips'!$E$2:$E$403=$J$1),ROW(A23))),"")</f>
        <v/>
      </c>
    </row>
    <row r="26">
      <c r="A26" s="40">
        <f>IFERROR(INDEX('macs_ips'!$A$2:$A$403,AGGREGATE(15,6,(ROW('macs_ips'!$A$2:$A$403)-ROW(INDEX('macs_ips'!$A$2:$A$403,1,1))+1)/('macs_ips'!$E$2:$E$403=$J$1),ROW(A24))),"")</f>
        <v/>
      </c>
      <c r="B26" s="40">
        <f>IFERROR(INDEX('macs_ips'!$B$2:$B$403,AGGREGATE(15,6,(ROW('macs_ips'!$A$2:$A$403)-ROW(INDEX('macs_ips'!$A$2:$A$403,1,1))+1)/('macs_ips'!$E$2:$E$403=$J$1),ROW(A24))),"")</f>
        <v/>
      </c>
      <c r="C26" s="40">
        <f>IFERROR(INDEX('macs_ips'!$C$2:$C$403,AGGREGATE(15,6,(ROW('macs_ips'!$A$2:$A$403)-ROW(INDEX('macs_ips'!$A$2:$A$403,1,1))+1)/('macs_ips'!$E$2:$E$403=$J$1),ROW(A24))),"")</f>
        <v/>
      </c>
      <c r="D26" s="41">
        <f>IFERROR(INDEX('macs_ips'!$D$2:$D$403,AGGREGATE(15,6,(ROW('macs_ips'!$A$2:$A$403)-ROW(INDEX('macs_ips'!$A$2:$A$403,1,1))+1)/('macs_ips'!$E$2:$E$403=$J$1),ROW(A24))),"")</f>
        <v/>
      </c>
      <c r="E26" s="40">
        <f>IFERROR(INDEX('macs_ips'!$E$2:$E$403,AGGREGATE(15,6,(ROW('macs_ips'!$A$2:$A$403)-ROW(INDEX('macs_ips'!$A$2:$A$403,1,1))+1)/('macs_ips'!$E$2:$E$403=$J$1),ROW(A24))),"")</f>
        <v/>
      </c>
      <c r="F26" s="41">
        <f>IFERROR(INDEX('macs_ips'!$F$2:$F$403,AGGREGATE(15,6,(ROW('macs_ips'!$A$2:$A$403)-ROW(INDEX('macs_ips'!$A$2:$A$403,1,1))+1)/('macs_ips'!$E$2:$E$403=$J$1),ROW(A24))),"")</f>
        <v/>
      </c>
      <c r="G26" s="40">
        <f>IFERROR(INDEX('macs_ips'!$G$2:$G$403,AGGREGATE(15,6,(ROW('macs_ips'!$A$2:$A$403)-ROW(INDEX('macs_ips'!$A$2:$A$403,1,1))+1)/('macs_ips'!$E$2:$E$403=$J$1),ROW(A24))),"")</f>
        <v/>
      </c>
    </row>
    <row r="27">
      <c r="A27" s="40">
        <f>IFERROR(INDEX('macs_ips'!$A$2:$A$403,AGGREGATE(15,6,(ROW('macs_ips'!$A$2:$A$403)-ROW(INDEX('macs_ips'!$A$2:$A$403,1,1))+1)/('macs_ips'!$E$2:$E$403=$J$1),ROW(A25))),"")</f>
        <v/>
      </c>
      <c r="B27" s="40">
        <f>IFERROR(INDEX('macs_ips'!$B$2:$B$403,AGGREGATE(15,6,(ROW('macs_ips'!$A$2:$A$403)-ROW(INDEX('macs_ips'!$A$2:$A$403,1,1))+1)/('macs_ips'!$E$2:$E$403=$J$1),ROW(A25))),"")</f>
        <v/>
      </c>
      <c r="C27" s="40">
        <f>IFERROR(INDEX('macs_ips'!$C$2:$C$403,AGGREGATE(15,6,(ROW('macs_ips'!$A$2:$A$403)-ROW(INDEX('macs_ips'!$A$2:$A$403,1,1))+1)/('macs_ips'!$E$2:$E$403=$J$1),ROW(A25))),"")</f>
        <v/>
      </c>
      <c r="D27" s="41">
        <f>IFERROR(INDEX('macs_ips'!$D$2:$D$403,AGGREGATE(15,6,(ROW('macs_ips'!$A$2:$A$403)-ROW(INDEX('macs_ips'!$A$2:$A$403,1,1))+1)/('macs_ips'!$E$2:$E$403=$J$1),ROW(A25))),"")</f>
        <v/>
      </c>
      <c r="E27" s="40">
        <f>IFERROR(INDEX('macs_ips'!$E$2:$E$403,AGGREGATE(15,6,(ROW('macs_ips'!$A$2:$A$403)-ROW(INDEX('macs_ips'!$A$2:$A$403,1,1))+1)/('macs_ips'!$E$2:$E$403=$J$1),ROW(A25))),"")</f>
        <v/>
      </c>
      <c r="F27" s="41">
        <f>IFERROR(INDEX('macs_ips'!$F$2:$F$403,AGGREGATE(15,6,(ROW('macs_ips'!$A$2:$A$403)-ROW(INDEX('macs_ips'!$A$2:$A$403,1,1))+1)/('macs_ips'!$E$2:$E$403=$J$1),ROW(A25))),"")</f>
        <v/>
      </c>
      <c r="G27" s="40">
        <f>IFERROR(INDEX('macs_ips'!$G$2:$G$403,AGGREGATE(15,6,(ROW('macs_ips'!$A$2:$A$403)-ROW(INDEX('macs_ips'!$A$2:$A$403,1,1))+1)/('macs_ips'!$E$2:$E$403=$J$1),ROW(A25))),"")</f>
        <v/>
      </c>
    </row>
    <row r="28">
      <c r="A28" s="40">
        <f>IFERROR(INDEX('macs_ips'!$A$2:$A$403,AGGREGATE(15,6,(ROW('macs_ips'!$A$2:$A$403)-ROW(INDEX('macs_ips'!$A$2:$A$403,1,1))+1)/('macs_ips'!$E$2:$E$403=$J$1),ROW(A26))),"")</f>
        <v/>
      </c>
      <c r="B28" s="40">
        <f>IFERROR(INDEX('macs_ips'!$B$2:$B$403,AGGREGATE(15,6,(ROW('macs_ips'!$A$2:$A$403)-ROW(INDEX('macs_ips'!$A$2:$A$403,1,1))+1)/('macs_ips'!$E$2:$E$403=$J$1),ROW(A26))),"")</f>
        <v/>
      </c>
      <c r="C28" s="40">
        <f>IFERROR(INDEX('macs_ips'!$C$2:$C$403,AGGREGATE(15,6,(ROW('macs_ips'!$A$2:$A$403)-ROW(INDEX('macs_ips'!$A$2:$A$403,1,1))+1)/('macs_ips'!$E$2:$E$403=$J$1),ROW(A26))),"")</f>
        <v/>
      </c>
      <c r="D28" s="41">
        <f>IFERROR(INDEX('macs_ips'!$D$2:$D$403,AGGREGATE(15,6,(ROW('macs_ips'!$A$2:$A$403)-ROW(INDEX('macs_ips'!$A$2:$A$403,1,1))+1)/('macs_ips'!$E$2:$E$403=$J$1),ROW(A26))),"")</f>
        <v/>
      </c>
      <c r="E28" s="40">
        <f>IFERROR(INDEX('macs_ips'!$E$2:$E$403,AGGREGATE(15,6,(ROW('macs_ips'!$A$2:$A$403)-ROW(INDEX('macs_ips'!$A$2:$A$403,1,1))+1)/('macs_ips'!$E$2:$E$403=$J$1),ROW(A26))),"")</f>
        <v/>
      </c>
      <c r="F28" s="41">
        <f>IFERROR(INDEX('macs_ips'!$F$2:$F$403,AGGREGATE(15,6,(ROW('macs_ips'!$A$2:$A$403)-ROW(INDEX('macs_ips'!$A$2:$A$403,1,1))+1)/('macs_ips'!$E$2:$E$403=$J$1),ROW(A26))),"")</f>
        <v/>
      </c>
      <c r="G28" s="40">
        <f>IFERROR(INDEX('macs_ips'!$G$2:$G$403,AGGREGATE(15,6,(ROW('macs_ips'!$A$2:$A$403)-ROW(INDEX('macs_ips'!$A$2:$A$403,1,1))+1)/('macs_ips'!$E$2:$E$403=$J$1),ROW(A26))),"")</f>
        <v/>
      </c>
    </row>
    <row r="29">
      <c r="A29" s="40">
        <f>IFERROR(INDEX('macs_ips'!$A$2:$A$403,AGGREGATE(15,6,(ROW('macs_ips'!$A$2:$A$403)-ROW(INDEX('macs_ips'!$A$2:$A$403,1,1))+1)/('macs_ips'!$E$2:$E$403=$J$1),ROW(A27))),"")</f>
        <v/>
      </c>
      <c r="B29" s="40">
        <f>IFERROR(INDEX('macs_ips'!$B$2:$B$403,AGGREGATE(15,6,(ROW('macs_ips'!$A$2:$A$403)-ROW(INDEX('macs_ips'!$A$2:$A$403,1,1))+1)/('macs_ips'!$E$2:$E$403=$J$1),ROW(A27))),"")</f>
        <v/>
      </c>
      <c r="C29" s="40">
        <f>IFERROR(INDEX('macs_ips'!$C$2:$C$403,AGGREGATE(15,6,(ROW('macs_ips'!$A$2:$A$403)-ROW(INDEX('macs_ips'!$A$2:$A$403,1,1))+1)/('macs_ips'!$E$2:$E$403=$J$1),ROW(A27))),"")</f>
        <v/>
      </c>
      <c r="D29" s="41">
        <f>IFERROR(INDEX('macs_ips'!$D$2:$D$403,AGGREGATE(15,6,(ROW('macs_ips'!$A$2:$A$403)-ROW(INDEX('macs_ips'!$A$2:$A$403,1,1))+1)/('macs_ips'!$E$2:$E$403=$J$1),ROW(A27))),"")</f>
        <v/>
      </c>
      <c r="E29" s="40">
        <f>IFERROR(INDEX('macs_ips'!$E$2:$E$403,AGGREGATE(15,6,(ROW('macs_ips'!$A$2:$A$403)-ROW(INDEX('macs_ips'!$A$2:$A$403,1,1))+1)/('macs_ips'!$E$2:$E$403=$J$1),ROW(A27))),"")</f>
        <v/>
      </c>
      <c r="F29" s="41">
        <f>IFERROR(INDEX('macs_ips'!$F$2:$F$403,AGGREGATE(15,6,(ROW('macs_ips'!$A$2:$A$403)-ROW(INDEX('macs_ips'!$A$2:$A$403,1,1))+1)/('macs_ips'!$E$2:$E$403=$J$1),ROW(A27))),"")</f>
        <v/>
      </c>
      <c r="G29" s="40">
        <f>IFERROR(INDEX('macs_ips'!$G$2:$G$403,AGGREGATE(15,6,(ROW('macs_ips'!$A$2:$A$403)-ROW(INDEX('macs_ips'!$A$2:$A$403,1,1))+1)/('macs_ips'!$E$2:$E$403=$J$1),ROW(A27))),"")</f>
        <v/>
      </c>
    </row>
    <row r="30">
      <c r="A30" s="40">
        <f>IFERROR(INDEX('macs_ips'!$A$2:$A$403,AGGREGATE(15,6,(ROW('macs_ips'!$A$2:$A$403)-ROW(INDEX('macs_ips'!$A$2:$A$403,1,1))+1)/('macs_ips'!$E$2:$E$403=$J$1),ROW(A28))),"")</f>
        <v/>
      </c>
      <c r="B30" s="40">
        <f>IFERROR(INDEX('macs_ips'!$B$2:$B$403,AGGREGATE(15,6,(ROW('macs_ips'!$A$2:$A$403)-ROW(INDEX('macs_ips'!$A$2:$A$403,1,1))+1)/('macs_ips'!$E$2:$E$403=$J$1),ROW(A28))),"")</f>
        <v/>
      </c>
      <c r="C30" s="40">
        <f>IFERROR(INDEX('macs_ips'!$C$2:$C$403,AGGREGATE(15,6,(ROW('macs_ips'!$A$2:$A$403)-ROW(INDEX('macs_ips'!$A$2:$A$403,1,1))+1)/('macs_ips'!$E$2:$E$403=$J$1),ROW(A28))),"")</f>
        <v/>
      </c>
      <c r="D30" s="41">
        <f>IFERROR(INDEX('macs_ips'!$D$2:$D$403,AGGREGATE(15,6,(ROW('macs_ips'!$A$2:$A$403)-ROW(INDEX('macs_ips'!$A$2:$A$403,1,1))+1)/('macs_ips'!$E$2:$E$403=$J$1),ROW(A28))),"")</f>
        <v/>
      </c>
      <c r="E30" s="40">
        <f>IFERROR(INDEX('macs_ips'!$E$2:$E$403,AGGREGATE(15,6,(ROW('macs_ips'!$A$2:$A$403)-ROW(INDEX('macs_ips'!$A$2:$A$403,1,1))+1)/('macs_ips'!$E$2:$E$403=$J$1),ROW(A28))),"")</f>
        <v/>
      </c>
      <c r="F30" s="41">
        <f>IFERROR(INDEX('macs_ips'!$F$2:$F$403,AGGREGATE(15,6,(ROW('macs_ips'!$A$2:$A$403)-ROW(INDEX('macs_ips'!$A$2:$A$403,1,1))+1)/('macs_ips'!$E$2:$E$403=$J$1),ROW(A28))),"")</f>
        <v/>
      </c>
      <c r="G30" s="40">
        <f>IFERROR(INDEX('macs_ips'!$G$2:$G$403,AGGREGATE(15,6,(ROW('macs_ips'!$A$2:$A$403)-ROW(INDEX('macs_ips'!$A$2:$A$403,1,1))+1)/('macs_ips'!$E$2:$E$403=$J$1),ROW(A28))),"")</f>
        <v/>
      </c>
    </row>
    <row r="31">
      <c r="A31" s="40">
        <f>IFERROR(INDEX('macs_ips'!$A$2:$A$403,AGGREGATE(15,6,(ROW('macs_ips'!$A$2:$A$403)-ROW(INDEX('macs_ips'!$A$2:$A$403,1,1))+1)/('macs_ips'!$E$2:$E$403=$J$1),ROW(A29))),"")</f>
        <v/>
      </c>
      <c r="B31" s="40">
        <f>IFERROR(INDEX('macs_ips'!$B$2:$B$403,AGGREGATE(15,6,(ROW('macs_ips'!$A$2:$A$403)-ROW(INDEX('macs_ips'!$A$2:$A$403,1,1))+1)/('macs_ips'!$E$2:$E$403=$J$1),ROW(A29))),"")</f>
        <v/>
      </c>
      <c r="C31" s="40">
        <f>IFERROR(INDEX('macs_ips'!$C$2:$C$403,AGGREGATE(15,6,(ROW('macs_ips'!$A$2:$A$403)-ROW(INDEX('macs_ips'!$A$2:$A$403,1,1))+1)/('macs_ips'!$E$2:$E$403=$J$1),ROW(A29))),"")</f>
        <v/>
      </c>
      <c r="D31" s="41">
        <f>IFERROR(INDEX('macs_ips'!$D$2:$D$403,AGGREGATE(15,6,(ROW('macs_ips'!$A$2:$A$403)-ROW(INDEX('macs_ips'!$A$2:$A$403,1,1))+1)/('macs_ips'!$E$2:$E$403=$J$1),ROW(A29))),"")</f>
        <v/>
      </c>
      <c r="E31" s="40">
        <f>IFERROR(INDEX('macs_ips'!$E$2:$E$403,AGGREGATE(15,6,(ROW('macs_ips'!$A$2:$A$403)-ROW(INDEX('macs_ips'!$A$2:$A$403,1,1))+1)/('macs_ips'!$E$2:$E$403=$J$1),ROW(A29))),"")</f>
        <v/>
      </c>
      <c r="F31" s="41">
        <f>IFERROR(INDEX('macs_ips'!$F$2:$F$403,AGGREGATE(15,6,(ROW('macs_ips'!$A$2:$A$403)-ROW(INDEX('macs_ips'!$A$2:$A$403,1,1))+1)/('macs_ips'!$E$2:$E$403=$J$1),ROW(A29))),"")</f>
        <v/>
      </c>
      <c r="G31" s="40">
        <f>IFERROR(INDEX('macs_ips'!$G$2:$G$403,AGGREGATE(15,6,(ROW('macs_ips'!$A$2:$A$403)-ROW(INDEX('macs_ips'!$A$2:$A$403,1,1))+1)/('macs_ips'!$E$2:$E$403=$J$1),ROW(A29))),"")</f>
        <v/>
      </c>
    </row>
    <row r="32">
      <c r="A32" s="40">
        <f>IFERROR(INDEX('macs_ips'!$A$2:$A$403,AGGREGATE(15,6,(ROW('macs_ips'!$A$2:$A$403)-ROW(INDEX('macs_ips'!$A$2:$A$403,1,1))+1)/('macs_ips'!$E$2:$E$403=$J$1),ROW(A30))),"")</f>
        <v/>
      </c>
      <c r="B32" s="40">
        <f>IFERROR(INDEX('macs_ips'!$B$2:$B$403,AGGREGATE(15,6,(ROW('macs_ips'!$A$2:$A$403)-ROW(INDEX('macs_ips'!$A$2:$A$403,1,1))+1)/('macs_ips'!$E$2:$E$403=$J$1),ROW(A30))),"")</f>
        <v/>
      </c>
      <c r="C32" s="40">
        <f>IFERROR(INDEX('macs_ips'!$C$2:$C$403,AGGREGATE(15,6,(ROW('macs_ips'!$A$2:$A$403)-ROW(INDEX('macs_ips'!$A$2:$A$403,1,1))+1)/('macs_ips'!$E$2:$E$403=$J$1),ROW(A30))),"")</f>
        <v/>
      </c>
      <c r="D32" s="41">
        <f>IFERROR(INDEX('macs_ips'!$D$2:$D$403,AGGREGATE(15,6,(ROW('macs_ips'!$A$2:$A$403)-ROW(INDEX('macs_ips'!$A$2:$A$403,1,1))+1)/('macs_ips'!$E$2:$E$403=$J$1),ROW(A30))),"")</f>
        <v/>
      </c>
      <c r="E32" s="40">
        <f>IFERROR(INDEX('macs_ips'!$E$2:$E$403,AGGREGATE(15,6,(ROW('macs_ips'!$A$2:$A$403)-ROW(INDEX('macs_ips'!$A$2:$A$403,1,1))+1)/('macs_ips'!$E$2:$E$403=$J$1),ROW(A30))),"")</f>
        <v/>
      </c>
      <c r="F32" s="41">
        <f>IFERROR(INDEX('macs_ips'!$F$2:$F$403,AGGREGATE(15,6,(ROW('macs_ips'!$A$2:$A$403)-ROW(INDEX('macs_ips'!$A$2:$A$403,1,1))+1)/('macs_ips'!$E$2:$E$403=$J$1),ROW(A30))),"")</f>
        <v/>
      </c>
      <c r="G32" s="40">
        <f>IFERROR(INDEX('macs_ips'!$G$2:$G$403,AGGREGATE(15,6,(ROW('macs_ips'!$A$2:$A$403)-ROW(INDEX('macs_ips'!$A$2:$A$403,1,1))+1)/('macs_ips'!$E$2:$E$403=$J$1),ROW(A30))),"")</f>
        <v/>
      </c>
    </row>
    <row r="33">
      <c r="A33" s="40">
        <f>IFERROR(INDEX('macs_ips'!$A$2:$A$403,AGGREGATE(15,6,(ROW('macs_ips'!$A$2:$A$403)-ROW(INDEX('macs_ips'!$A$2:$A$403,1,1))+1)/('macs_ips'!$E$2:$E$403=$J$1),ROW(A31))),"")</f>
        <v/>
      </c>
      <c r="B33" s="40">
        <f>IFERROR(INDEX('macs_ips'!$B$2:$B$403,AGGREGATE(15,6,(ROW('macs_ips'!$A$2:$A$403)-ROW(INDEX('macs_ips'!$A$2:$A$403,1,1))+1)/('macs_ips'!$E$2:$E$403=$J$1),ROW(A31))),"")</f>
        <v/>
      </c>
      <c r="C33" s="40">
        <f>IFERROR(INDEX('macs_ips'!$C$2:$C$403,AGGREGATE(15,6,(ROW('macs_ips'!$A$2:$A$403)-ROW(INDEX('macs_ips'!$A$2:$A$403,1,1))+1)/('macs_ips'!$E$2:$E$403=$J$1),ROW(A31))),"")</f>
        <v/>
      </c>
      <c r="D33" s="41">
        <f>IFERROR(INDEX('macs_ips'!$D$2:$D$403,AGGREGATE(15,6,(ROW('macs_ips'!$A$2:$A$403)-ROW(INDEX('macs_ips'!$A$2:$A$403,1,1))+1)/('macs_ips'!$E$2:$E$403=$J$1),ROW(A31))),"")</f>
        <v/>
      </c>
      <c r="E33" s="40">
        <f>IFERROR(INDEX('macs_ips'!$E$2:$E$403,AGGREGATE(15,6,(ROW('macs_ips'!$A$2:$A$403)-ROW(INDEX('macs_ips'!$A$2:$A$403,1,1))+1)/('macs_ips'!$E$2:$E$403=$J$1),ROW(A31))),"")</f>
        <v/>
      </c>
      <c r="F33" s="41">
        <f>IFERROR(INDEX('macs_ips'!$F$2:$F$403,AGGREGATE(15,6,(ROW('macs_ips'!$A$2:$A$403)-ROW(INDEX('macs_ips'!$A$2:$A$403,1,1))+1)/('macs_ips'!$E$2:$E$403=$J$1),ROW(A31))),"")</f>
        <v/>
      </c>
      <c r="G33" s="40">
        <f>IFERROR(INDEX('macs_ips'!$G$2:$G$403,AGGREGATE(15,6,(ROW('macs_ips'!$A$2:$A$403)-ROW(INDEX('macs_ips'!$A$2:$A$403,1,1))+1)/('macs_ips'!$E$2:$E$403=$J$1),ROW(A31))),"")</f>
        <v/>
      </c>
    </row>
    <row r="34">
      <c r="A34" s="40">
        <f>IFERROR(INDEX('macs_ips'!$A$2:$A$403,AGGREGATE(15,6,(ROW('macs_ips'!$A$2:$A$403)-ROW(INDEX('macs_ips'!$A$2:$A$403,1,1))+1)/('macs_ips'!$E$2:$E$403=$J$1),ROW(A32))),"")</f>
        <v/>
      </c>
      <c r="B34" s="40">
        <f>IFERROR(INDEX('macs_ips'!$B$2:$B$403,AGGREGATE(15,6,(ROW('macs_ips'!$A$2:$A$403)-ROW(INDEX('macs_ips'!$A$2:$A$403,1,1))+1)/('macs_ips'!$E$2:$E$403=$J$1),ROW(A32))),"")</f>
        <v/>
      </c>
      <c r="C34" s="40">
        <f>IFERROR(INDEX('macs_ips'!$C$2:$C$403,AGGREGATE(15,6,(ROW('macs_ips'!$A$2:$A$403)-ROW(INDEX('macs_ips'!$A$2:$A$403,1,1))+1)/('macs_ips'!$E$2:$E$403=$J$1),ROW(A32))),"")</f>
        <v/>
      </c>
      <c r="D34" s="41">
        <f>IFERROR(INDEX('macs_ips'!$D$2:$D$403,AGGREGATE(15,6,(ROW('macs_ips'!$A$2:$A$403)-ROW(INDEX('macs_ips'!$A$2:$A$403,1,1))+1)/('macs_ips'!$E$2:$E$403=$J$1),ROW(A32))),"")</f>
        <v/>
      </c>
      <c r="E34" s="40">
        <f>IFERROR(INDEX('macs_ips'!$E$2:$E$403,AGGREGATE(15,6,(ROW('macs_ips'!$A$2:$A$403)-ROW(INDEX('macs_ips'!$A$2:$A$403,1,1))+1)/('macs_ips'!$E$2:$E$403=$J$1),ROW(A32))),"")</f>
        <v/>
      </c>
      <c r="F34" s="41">
        <f>IFERROR(INDEX('macs_ips'!$F$2:$F$403,AGGREGATE(15,6,(ROW('macs_ips'!$A$2:$A$403)-ROW(INDEX('macs_ips'!$A$2:$A$403,1,1))+1)/('macs_ips'!$E$2:$E$403=$J$1),ROW(A32))),"")</f>
        <v/>
      </c>
      <c r="G34" s="40">
        <f>IFERROR(INDEX('macs_ips'!$G$2:$G$403,AGGREGATE(15,6,(ROW('macs_ips'!$A$2:$A$403)-ROW(INDEX('macs_ips'!$A$2:$A$403,1,1))+1)/('macs_ips'!$E$2:$E$403=$J$1),ROW(A32))),"")</f>
        <v/>
      </c>
    </row>
    <row r="35">
      <c r="A35" s="40">
        <f>IFERROR(INDEX('macs_ips'!$A$2:$A$403,AGGREGATE(15,6,(ROW('macs_ips'!$A$2:$A$403)-ROW(INDEX('macs_ips'!$A$2:$A$403,1,1))+1)/('macs_ips'!$E$2:$E$403=$J$1),ROW(A33))),"")</f>
        <v/>
      </c>
      <c r="B35" s="40">
        <f>IFERROR(INDEX('macs_ips'!$B$2:$B$403,AGGREGATE(15,6,(ROW('macs_ips'!$A$2:$A$403)-ROW(INDEX('macs_ips'!$A$2:$A$403,1,1))+1)/('macs_ips'!$E$2:$E$403=$J$1),ROW(A33))),"")</f>
        <v/>
      </c>
      <c r="C35" s="40">
        <f>IFERROR(INDEX('macs_ips'!$C$2:$C$403,AGGREGATE(15,6,(ROW('macs_ips'!$A$2:$A$403)-ROW(INDEX('macs_ips'!$A$2:$A$403,1,1))+1)/('macs_ips'!$E$2:$E$403=$J$1),ROW(A33))),"")</f>
        <v/>
      </c>
      <c r="D35" s="41">
        <f>IFERROR(INDEX('macs_ips'!$D$2:$D$403,AGGREGATE(15,6,(ROW('macs_ips'!$A$2:$A$403)-ROW(INDEX('macs_ips'!$A$2:$A$403,1,1))+1)/('macs_ips'!$E$2:$E$403=$J$1),ROW(A33))),"")</f>
        <v/>
      </c>
      <c r="E35" s="40">
        <f>IFERROR(INDEX('macs_ips'!$E$2:$E$403,AGGREGATE(15,6,(ROW('macs_ips'!$A$2:$A$403)-ROW(INDEX('macs_ips'!$A$2:$A$403,1,1))+1)/('macs_ips'!$E$2:$E$403=$J$1),ROW(A33))),"")</f>
        <v/>
      </c>
      <c r="F35" s="41">
        <f>IFERROR(INDEX('macs_ips'!$F$2:$F$403,AGGREGATE(15,6,(ROW('macs_ips'!$A$2:$A$403)-ROW(INDEX('macs_ips'!$A$2:$A$403,1,1))+1)/('macs_ips'!$E$2:$E$403=$J$1),ROW(A33))),"")</f>
        <v/>
      </c>
      <c r="G35" s="40">
        <f>IFERROR(INDEX('macs_ips'!$G$2:$G$403,AGGREGATE(15,6,(ROW('macs_ips'!$A$2:$A$403)-ROW(INDEX('macs_ips'!$A$2:$A$403,1,1))+1)/('macs_ips'!$E$2:$E$403=$J$1),ROW(A33))),"")</f>
        <v/>
      </c>
    </row>
    <row r="36">
      <c r="A36" s="40">
        <f>IFERROR(INDEX('macs_ips'!$A$2:$A$403,AGGREGATE(15,6,(ROW('macs_ips'!$A$2:$A$403)-ROW(INDEX('macs_ips'!$A$2:$A$403,1,1))+1)/('macs_ips'!$E$2:$E$403=$J$1),ROW(A34))),"")</f>
        <v/>
      </c>
      <c r="B36" s="40">
        <f>IFERROR(INDEX('macs_ips'!$B$2:$B$403,AGGREGATE(15,6,(ROW('macs_ips'!$A$2:$A$403)-ROW(INDEX('macs_ips'!$A$2:$A$403,1,1))+1)/('macs_ips'!$E$2:$E$403=$J$1),ROW(A34))),"")</f>
        <v/>
      </c>
      <c r="C36" s="40">
        <f>IFERROR(INDEX('macs_ips'!$C$2:$C$403,AGGREGATE(15,6,(ROW('macs_ips'!$A$2:$A$403)-ROW(INDEX('macs_ips'!$A$2:$A$403,1,1))+1)/('macs_ips'!$E$2:$E$403=$J$1),ROW(A34))),"")</f>
        <v/>
      </c>
      <c r="D36" s="41">
        <f>IFERROR(INDEX('macs_ips'!$D$2:$D$403,AGGREGATE(15,6,(ROW('macs_ips'!$A$2:$A$403)-ROW(INDEX('macs_ips'!$A$2:$A$403,1,1))+1)/('macs_ips'!$E$2:$E$403=$J$1),ROW(A34))),"")</f>
        <v/>
      </c>
      <c r="E36" s="40">
        <f>IFERROR(INDEX('macs_ips'!$E$2:$E$403,AGGREGATE(15,6,(ROW('macs_ips'!$A$2:$A$403)-ROW(INDEX('macs_ips'!$A$2:$A$403,1,1))+1)/('macs_ips'!$E$2:$E$403=$J$1),ROW(A34))),"")</f>
        <v/>
      </c>
      <c r="F36" s="41">
        <f>IFERROR(INDEX('macs_ips'!$F$2:$F$403,AGGREGATE(15,6,(ROW('macs_ips'!$A$2:$A$403)-ROW(INDEX('macs_ips'!$A$2:$A$403,1,1))+1)/('macs_ips'!$E$2:$E$403=$J$1),ROW(A34))),"")</f>
        <v/>
      </c>
      <c r="G36" s="40">
        <f>IFERROR(INDEX('macs_ips'!$G$2:$G$403,AGGREGATE(15,6,(ROW('macs_ips'!$A$2:$A$403)-ROW(INDEX('macs_ips'!$A$2:$A$403,1,1))+1)/('macs_ips'!$E$2:$E$403=$J$1),ROW(A34))),"")</f>
        <v/>
      </c>
    </row>
    <row r="37">
      <c r="A37" s="40">
        <f>IFERROR(INDEX('macs_ips'!$A$2:$A$403,AGGREGATE(15,6,(ROW('macs_ips'!$A$2:$A$403)-ROW(INDEX('macs_ips'!$A$2:$A$403,1,1))+1)/('macs_ips'!$E$2:$E$403=$J$1),ROW(A35))),"")</f>
        <v/>
      </c>
      <c r="B37" s="40">
        <f>IFERROR(INDEX('macs_ips'!$B$2:$B$403,AGGREGATE(15,6,(ROW('macs_ips'!$A$2:$A$403)-ROW(INDEX('macs_ips'!$A$2:$A$403,1,1))+1)/('macs_ips'!$E$2:$E$403=$J$1),ROW(A35))),"")</f>
        <v/>
      </c>
      <c r="C37" s="40">
        <f>IFERROR(INDEX('macs_ips'!$C$2:$C$403,AGGREGATE(15,6,(ROW('macs_ips'!$A$2:$A$403)-ROW(INDEX('macs_ips'!$A$2:$A$403,1,1))+1)/('macs_ips'!$E$2:$E$403=$J$1),ROW(A35))),"")</f>
        <v/>
      </c>
      <c r="D37" s="41">
        <f>IFERROR(INDEX('macs_ips'!$D$2:$D$403,AGGREGATE(15,6,(ROW('macs_ips'!$A$2:$A$403)-ROW(INDEX('macs_ips'!$A$2:$A$403,1,1))+1)/('macs_ips'!$E$2:$E$403=$J$1),ROW(A35))),"")</f>
        <v/>
      </c>
      <c r="E37" s="40">
        <f>IFERROR(INDEX('macs_ips'!$E$2:$E$403,AGGREGATE(15,6,(ROW('macs_ips'!$A$2:$A$403)-ROW(INDEX('macs_ips'!$A$2:$A$403,1,1))+1)/('macs_ips'!$E$2:$E$403=$J$1),ROW(A35))),"")</f>
        <v/>
      </c>
      <c r="F37" s="41">
        <f>IFERROR(INDEX('macs_ips'!$F$2:$F$403,AGGREGATE(15,6,(ROW('macs_ips'!$A$2:$A$403)-ROW(INDEX('macs_ips'!$A$2:$A$403,1,1))+1)/('macs_ips'!$E$2:$E$403=$J$1),ROW(A35))),"")</f>
        <v/>
      </c>
      <c r="G37" s="40">
        <f>IFERROR(INDEX('macs_ips'!$G$2:$G$403,AGGREGATE(15,6,(ROW('macs_ips'!$A$2:$A$403)-ROW(INDEX('macs_ips'!$A$2:$A$403,1,1))+1)/('macs_ips'!$E$2:$E$403=$J$1),ROW(A35))),"")</f>
        <v/>
      </c>
    </row>
    <row r="38">
      <c r="A38" s="40">
        <f>IFERROR(INDEX('macs_ips'!$A$2:$A$403,AGGREGATE(15,6,(ROW('macs_ips'!$A$2:$A$403)-ROW(INDEX('macs_ips'!$A$2:$A$403,1,1))+1)/('macs_ips'!$E$2:$E$403=$J$1),ROW(A36))),"")</f>
        <v/>
      </c>
      <c r="B38" s="40">
        <f>IFERROR(INDEX('macs_ips'!$B$2:$B$403,AGGREGATE(15,6,(ROW('macs_ips'!$A$2:$A$403)-ROW(INDEX('macs_ips'!$A$2:$A$403,1,1))+1)/('macs_ips'!$E$2:$E$403=$J$1),ROW(A36))),"")</f>
        <v/>
      </c>
      <c r="C38" s="40">
        <f>IFERROR(INDEX('macs_ips'!$C$2:$C$403,AGGREGATE(15,6,(ROW('macs_ips'!$A$2:$A$403)-ROW(INDEX('macs_ips'!$A$2:$A$403,1,1))+1)/('macs_ips'!$E$2:$E$403=$J$1),ROW(A36))),"")</f>
        <v/>
      </c>
      <c r="D38" s="41">
        <f>IFERROR(INDEX('macs_ips'!$D$2:$D$403,AGGREGATE(15,6,(ROW('macs_ips'!$A$2:$A$403)-ROW(INDEX('macs_ips'!$A$2:$A$403,1,1))+1)/('macs_ips'!$E$2:$E$403=$J$1),ROW(A36))),"")</f>
        <v/>
      </c>
      <c r="E38" s="40">
        <f>IFERROR(INDEX('macs_ips'!$E$2:$E$403,AGGREGATE(15,6,(ROW('macs_ips'!$A$2:$A$403)-ROW(INDEX('macs_ips'!$A$2:$A$403,1,1))+1)/('macs_ips'!$E$2:$E$403=$J$1),ROW(A36))),"")</f>
        <v/>
      </c>
      <c r="F38" s="41">
        <f>IFERROR(INDEX('macs_ips'!$F$2:$F$403,AGGREGATE(15,6,(ROW('macs_ips'!$A$2:$A$403)-ROW(INDEX('macs_ips'!$A$2:$A$403,1,1))+1)/('macs_ips'!$E$2:$E$403=$J$1),ROW(A36))),"")</f>
        <v/>
      </c>
      <c r="G38" s="40">
        <f>IFERROR(INDEX('macs_ips'!$G$2:$G$403,AGGREGATE(15,6,(ROW('macs_ips'!$A$2:$A$403)-ROW(INDEX('macs_ips'!$A$2:$A$403,1,1))+1)/('macs_ips'!$E$2:$E$403=$J$1),ROW(A36))),"")</f>
        <v/>
      </c>
    </row>
    <row r="39">
      <c r="A39" s="40">
        <f>IFERROR(INDEX('macs_ips'!$A$2:$A$403,AGGREGATE(15,6,(ROW('macs_ips'!$A$2:$A$403)-ROW(INDEX('macs_ips'!$A$2:$A$403,1,1))+1)/('macs_ips'!$E$2:$E$403=$J$1),ROW(A37))),"")</f>
        <v/>
      </c>
      <c r="B39" s="40">
        <f>IFERROR(INDEX('macs_ips'!$B$2:$B$403,AGGREGATE(15,6,(ROW('macs_ips'!$A$2:$A$403)-ROW(INDEX('macs_ips'!$A$2:$A$403,1,1))+1)/('macs_ips'!$E$2:$E$403=$J$1),ROW(A37))),"")</f>
        <v/>
      </c>
      <c r="C39" s="40">
        <f>IFERROR(INDEX('macs_ips'!$C$2:$C$403,AGGREGATE(15,6,(ROW('macs_ips'!$A$2:$A$403)-ROW(INDEX('macs_ips'!$A$2:$A$403,1,1))+1)/('macs_ips'!$E$2:$E$403=$J$1),ROW(A37))),"")</f>
        <v/>
      </c>
      <c r="D39" s="41">
        <f>IFERROR(INDEX('macs_ips'!$D$2:$D$403,AGGREGATE(15,6,(ROW('macs_ips'!$A$2:$A$403)-ROW(INDEX('macs_ips'!$A$2:$A$403,1,1))+1)/('macs_ips'!$E$2:$E$403=$J$1),ROW(A37))),"")</f>
        <v/>
      </c>
      <c r="E39" s="40">
        <f>IFERROR(INDEX('macs_ips'!$E$2:$E$403,AGGREGATE(15,6,(ROW('macs_ips'!$A$2:$A$403)-ROW(INDEX('macs_ips'!$A$2:$A$403,1,1))+1)/('macs_ips'!$E$2:$E$403=$J$1),ROW(A37))),"")</f>
        <v/>
      </c>
      <c r="F39" s="41">
        <f>IFERROR(INDEX('macs_ips'!$F$2:$F$403,AGGREGATE(15,6,(ROW('macs_ips'!$A$2:$A$403)-ROW(INDEX('macs_ips'!$A$2:$A$403,1,1))+1)/('macs_ips'!$E$2:$E$403=$J$1),ROW(A37))),"")</f>
        <v/>
      </c>
      <c r="G39" s="40">
        <f>IFERROR(INDEX('macs_ips'!$G$2:$G$403,AGGREGATE(15,6,(ROW('macs_ips'!$A$2:$A$403)-ROW(INDEX('macs_ips'!$A$2:$A$403,1,1))+1)/('macs_ips'!$E$2:$E$403=$J$1),ROW(A37))),"")</f>
        <v/>
      </c>
    </row>
    <row r="40">
      <c r="A40" s="40">
        <f>IFERROR(INDEX('macs_ips'!$A$2:$A$403,AGGREGATE(15,6,(ROW('macs_ips'!$A$2:$A$403)-ROW(INDEX('macs_ips'!$A$2:$A$403,1,1))+1)/('macs_ips'!$E$2:$E$403=$J$1),ROW(A38))),"")</f>
        <v/>
      </c>
      <c r="B40" s="40">
        <f>IFERROR(INDEX('macs_ips'!$B$2:$B$403,AGGREGATE(15,6,(ROW('macs_ips'!$A$2:$A$403)-ROW(INDEX('macs_ips'!$A$2:$A$403,1,1))+1)/('macs_ips'!$E$2:$E$403=$J$1),ROW(A38))),"")</f>
        <v/>
      </c>
      <c r="C40" s="40">
        <f>IFERROR(INDEX('macs_ips'!$C$2:$C$403,AGGREGATE(15,6,(ROW('macs_ips'!$A$2:$A$403)-ROW(INDEX('macs_ips'!$A$2:$A$403,1,1))+1)/('macs_ips'!$E$2:$E$403=$J$1),ROW(A38))),"")</f>
        <v/>
      </c>
      <c r="D40" s="41">
        <f>IFERROR(INDEX('macs_ips'!$D$2:$D$403,AGGREGATE(15,6,(ROW('macs_ips'!$A$2:$A$403)-ROW(INDEX('macs_ips'!$A$2:$A$403,1,1))+1)/('macs_ips'!$E$2:$E$403=$J$1),ROW(A38))),"")</f>
        <v/>
      </c>
      <c r="E40" s="40">
        <f>IFERROR(INDEX('macs_ips'!$E$2:$E$403,AGGREGATE(15,6,(ROW('macs_ips'!$A$2:$A$403)-ROW(INDEX('macs_ips'!$A$2:$A$403,1,1))+1)/('macs_ips'!$E$2:$E$403=$J$1),ROW(A38))),"")</f>
        <v/>
      </c>
      <c r="F40" s="41">
        <f>IFERROR(INDEX('macs_ips'!$F$2:$F$403,AGGREGATE(15,6,(ROW('macs_ips'!$A$2:$A$403)-ROW(INDEX('macs_ips'!$A$2:$A$403,1,1))+1)/('macs_ips'!$E$2:$E$403=$J$1),ROW(A38))),"")</f>
        <v/>
      </c>
      <c r="G40" s="40">
        <f>IFERROR(INDEX('macs_ips'!$G$2:$G$403,AGGREGATE(15,6,(ROW('macs_ips'!$A$2:$A$403)-ROW(INDEX('macs_ips'!$A$2:$A$403,1,1))+1)/('macs_ips'!$E$2:$E$403=$J$1),ROW(A38))),"")</f>
        <v/>
      </c>
    </row>
    <row r="41">
      <c r="A41" s="40">
        <f>IFERROR(INDEX('macs_ips'!$A$2:$A$403,AGGREGATE(15,6,(ROW('macs_ips'!$A$2:$A$403)-ROW(INDEX('macs_ips'!$A$2:$A$403,1,1))+1)/('macs_ips'!$E$2:$E$403=$J$1),ROW(A39))),"")</f>
        <v/>
      </c>
      <c r="B41" s="40">
        <f>IFERROR(INDEX('macs_ips'!$B$2:$B$403,AGGREGATE(15,6,(ROW('macs_ips'!$A$2:$A$403)-ROW(INDEX('macs_ips'!$A$2:$A$403,1,1))+1)/('macs_ips'!$E$2:$E$403=$J$1),ROW(A39))),"")</f>
        <v/>
      </c>
      <c r="C41" s="40">
        <f>IFERROR(INDEX('macs_ips'!$C$2:$C$403,AGGREGATE(15,6,(ROW('macs_ips'!$A$2:$A$403)-ROW(INDEX('macs_ips'!$A$2:$A$403,1,1))+1)/('macs_ips'!$E$2:$E$403=$J$1),ROW(A39))),"")</f>
        <v/>
      </c>
      <c r="D41" s="41">
        <f>IFERROR(INDEX('macs_ips'!$D$2:$D$403,AGGREGATE(15,6,(ROW('macs_ips'!$A$2:$A$403)-ROW(INDEX('macs_ips'!$A$2:$A$403,1,1))+1)/('macs_ips'!$E$2:$E$403=$J$1),ROW(A39))),"")</f>
        <v/>
      </c>
      <c r="E41" s="40">
        <f>IFERROR(INDEX('macs_ips'!$E$2:$E$403,AGGREGATE(15,6,(ROW('macs_ips'!$A$2:$A$403)-ROW(INDEX('macs_ips'!$A$2:$A$403,1,1))+1)/('macs_ips'!$E$2:$E$403=$J$1),ROW(A39))),"")</f>
        <v/>
      </c>
      <c r="F41" s="41">
        <f>IFERROR(INDEX('macs_ips'!$F$2:$F$403,AGGREGATE(15,6,(ROW('macs_ips'!$A$2:$A$403)-ROW(INDEX('macs_ips'!$A$2:$A$403,1,1))+1)/('macs_ips'!$E$2:$E$403=$J$1),ROW(A39))),"")</f>
        <v/>
      </c>
      <c r="G41" s="40">
        <f>IFERROR(INDEX('macs_ips'!$G$2:$G$403,AGGREGATE(15,6,(ROW('macs_ips'!$A$2:$A$403)-ROW(INDEX('macs_ips'!$A$2:$A$403,1,1))+1)/('macs_ips'!$E$2:$E$403=$J$1),ROW(A39))),"")</f>
        <v/>
      </c>
    </row>
    <row r="42">
      <c r="A42" s="40">
        <f>IFERROR(INDEX('macs_ips'!$A$2:$A$403,AGGREGATE(15,6,(ROW('macs_ips'!$A$2:$A$403)-ROW(INDEX('macs_ips'!$A$2:$A$403,1,1))+1)/('macs_ips'!$E$2:$E$403=$J$1),ROW(A40))),"")</f>
        <v/>
      </c>
      <c r="B42" s="40">
        <f>IFERROR(INDEX('macs_ips'!$B$2:$B$403,AGGREGATE(15,6,(ROW('macs_ips'!$A$2:$A$403)-ROW(INDEX('macs_ips'!$A$2:$A$403,1,1))+1)/('macs_ips'!$E$2:$E$403=$J$1),ROW(A40))),"")</f>
        <v/>
      </c>
      <c r="C42" s="40">
        <f>IFERROR(INDEX('macs_ips'!$C$2:$C$403,AGGREGATE(15,6,(ROW('macs_ips'!$A$2:$A$403)-ROW(INDEX('macs_ips'!$A$2:$A$403,1,1))+1)/('macs_ips'!$E$2:$E$403=$J$1),ROW(A40))),"")</f>
        <v/>
      </c>
      <c r="D42" s="41">
        <f>IFERROR(INDEX('macs_ips'!$D$2:$D$403,AGGREGATE(15,6,(ROW('macs_ips'!$A$2:$A$403)-ROW(INDEX('macs_ips'!$A$2:$A$403,1,1))+1)/('macs_ips'!$E$2:$E$403=$J$1),ROW(A40))),"")</f>
        <v/>
      </c>
      <c r="E42" s="40">
        <f>IFERROR(INDEX('macs_ips'!$E$2:$E$403,AGGREGATE(15,6,(ROW('macs_ips'!$A$2:$A$403)-ROW(INDEX('macs_ips'!$A$2:$A$403,1,1))+1)/('macs_ips'!$E$2:$E$403=$J$1),ROW(A40))),"")</f>
        <v/>
      </c>
      <c r="F42" s="41">
        <f>IFERROR(INDEX('macs_ips'!$F$2:$F$403,AGGREGATE(15,6,(ROW('macs_ips'!$A$2:$A$403)-ROW(INDEX('macs_ips'!$A$2:$A$403,1,1))+1)/('macs_ips'!$E$2:$E$403=$J$1),ROW(A40))),"")</f>
        <v/>
      </c>
      <c r="G42" s="40">
        <f>IFERROR(INDEX('macs_ips'!$G$2:$G$403,AGGREGATE(15,6,(ROW('macs_ips'!$A$2:$A$403)-ROW(INDEX('macs_ips'!$A$2:$A$403,1,1))+1)/('macs_ips'!$E$2:$E$403=$J$1),ROW(A40))),"")</f>
        <v/>
      </c>
    </row>
    <row r="43">
      <c r="A43" s="40">
        <f>IFERROR(INDEX('macs_ips'!$A$2:$A$403,AGGREGATE(15,6,(ROW('macs_ips'!$A$2:$A$403)-ROW(INDEX('macs_ips'!$A$2:$A$403,1,1))+1)/('macs_ips'!$E$2:$E$403=$J$1),ROW(A41))),"")</f>
        <v/>
      </c>
      <c r="B43" s="40">
        <f>IFERROR(INDEX('macs_ips'!$B$2:$B$403,AGGREGATE(15,6,(ROW('macs_ips'!$A$2:$A$403)-ROW(INDEX('macs_ips'!$A$2:$A$403,1,1))+1)/('macs_ips'!$E$2:$E$403=$J$1),ROW(A41))),"")</f>
        <v/>
      </c>
      <c r="C43" s="40">
        <f>IFERROR(INDEX('macs_ips'!$C$2:$C$403,AGGREGATE(15,6,(ROW('macs_ips'!$A$2:$A$403)-ROW(INDEX('macs_ips'!$A$2:$A$403,1,1))+1)/('macs_ips'!$E$2:$E$403=$J$1),ROW(A41))),"")</f>
        <v/>
      </c>
      <c r="D43" s="41">
        <f>IFERROR(INDEX('macs_ips'!$D$2:$D$403,AGGREGATE(15,6,(ROW('macs_ips'!$A$2:$A$403)-ROW(INDEX('macs_ips'!$A$2:$A$403,1,1))+1)/('macs_ips'!$E$2:$E$403=$J$1),ROW(A41))),"")</f>
        <v/>
      </c>
      <c r="E43" s="40">
        <f>IFERROR(INDEX('macs_ips'!$E$2:$E$403,AGGREGATE(15,6,(ROW('macs_ips'!$A$2:$A$403)-ROW(INDEX('macs_ips'!$A$2:$A$403,1,1))+1)/('macs_ips'!$E$2:$E$403=$J$1),ROW(A41))),"")</f>
        <v/>
      </c>
      <c r="F43" s="41">
        <f>IFERROR(INDEX('macs_ips'!$F$2:$F$403,AGGREGATE(15,6,(ROW('macs_ips'!$A$2:$A$403)-ROW(INDEX('macs_ips'!$A$2:$A$403,1,1))+1)/('macs_ips'!$E$2:$E$403=$J$1),ROW(A41))),"")</f>
        <v/>
      </c>
      <c r="G43" s="40">
        <f>IFERROR(INDEX('macs_ips'!$G$2:$G$403,AGGREGATE(15,6,(ROW('macs_ips'!$A$2:$A$403)-ROW(INDEX('macs_ips'!$A$2:$A$403,1,1))+1)/('macs_ips'!$E$2:$E$403=$J$1),ROW(A41))),"")</f>
        <v/>
      </c>
    </row>
    <row r="44">
      <c r="A44" s="40">
        <f>IFERROR(INDEX('macs_ips'!$A$2:$A$403,AGGREGATE(15,6,(ROW('macs_ips'!$A$2:$A$403)-ROW(INDEX('macs_ips'!$A$2:$A$403,1,1))+1)/('macs_ips'!$E$2:$E$403=$J$1),ROW(A42))),"")</f>
        <v/>
      </c>
      <c r="B44" s="40">
        <f>IFERROR(INDEX('macs_ips'!$B$2:$B$403,AGGREGATE(15,6,(ROW('macs_ips'!$A$2:$A$403)-ROW(INDEX('macs_ips'!$A$2:$A$403,1,1))+1)/('macs_ips'!$E$2:$E$403=$J$1),ROW(A42))),"")</f>
        <v/>
      </c>
      <c r="C44" s="40">
        <f>IFERROR(INDEX('macs_ips'!$C$2:$C$403,AGGREGATE(15,6,(ROW('macs_ips'!$A$2:$A$403)-ROW(INDEX('macs_ips'!$A$2:$A$403,1,1))+1)/('macs_ips'!$E$2:$E$403=$J$1),ROW(A42))),"")</f>
        <v/>
      </c>
      <c r="D44" s="41">
        <f>IFERROR(INDEX('macs_ips'!$D$2:$D$403,AGGREGATE(15,6,(ROW('macs_ips'!$A$2:$A$403)-ROW(INDEX('macs_ips'!$A$2:$A$403,1,1))+1)/('macs_ips'!$E$2:$E$403=$J$1),ROW(A42))),"")</f>
        <v/>
      </c>
      <c r="E44" s="40">
        <f>IFERROR(INDEX('macs_ips'!$E$2:$E$403,AGGREGATE(15,6,(ROW('macs_ips'!$A$2:$A$403)-ROW(INDEX('macs_ips'!$A$2:$A$403,1,1))+1)/('macs_ips'!$E$2:$E$403=$J$1),ROW(A42))),"")</f>
        <v/>
      </c>
      <c r="F44" s="41">
        <f>IFERROR(INDEX('macs_ips'!$F$2:$F$403,AGGREGATE(15,6,(ROW('macs_ips'!$A$2:$A$403)-ROW(INDEX('macs_ips'!$A$2:$A$403,1,1))+1)/('macs_ips'!$E$2:$E$403=$J$1),ROW(A42))),"")</f>
        <v/>
      </c>
      <c r="G44" s="40">
        <f>IFERROR(INDEX('macs_ips'!$G$2:$G$403,AGGREGATE(15,6,(ROW('macs_ips'!$A$2:$A$403)-ROW(INDEX('macs_ips'!$A$2:$A$403,1,1))+1)/('macs_ips'!$E$2:$E$403=$J$1),ROW(A42))),"")</f>
        <v/>
      </c>
    </row>
    <row r="45">
      <c r="A45" s="40">
        <f>IFERROR(INDEX('macs_ips'!$A$2:$A$403,AGGREGATE(15,6,(ROW('macs_ips'!$A$2:$A$403)-ROW(INDEX('macs_ips'!$A$2:$A$403,1,1))+1)/('macs_ips'!$E$2:$E$403=$J$1),ROW(A43))),"")</f>
        <v/>
      </c>
      <c r="B45" s="40">
        <f>IFERROR(INDEX('macs_ips'!$B$2:$B$403,AGGREGATE(15,6,(ROW('macs_ips'!$A$2:$A$403)-ROW(INDEX('macs_ips'!$A$2:$A$403,1,1))+1)/('macs_ips'!$E$2:$E$403=$J$1),ROW(A43))),"")</f>
        <v/>
      </c>
      <c r="C45" s="40">
        <f>IFERROR(INDEX('macs_ips'!$C$2:$C$403,AGGREGATE(15,6,(ROW('macs_ips'!$A$2:$A$403)-ROW(INDEX('macs_ips'!$A$2:$A$403,1,1))+1)/('macs_ips'!$E$2:$E$403=$J$1),ROW(A43))),"")</f>
        <v/>
      </c>
      <c r="D45" s="41">
        <f>IFERROR(INDEX('macs_ips'!$D$2:$D$403,AGGREGATE(15,6,(ROW('macs_ips'!$A$2:$A$403)-ROW(INDEX('macs_ips'!$A$2:$A$403,1,1))+1)/('macs_ips'!$E$2:$E$403=$J$1),ROW(A43))),"")</f>
        <v/>
      </c>
      <c r="E45" s="40">
        <f>IFERROR(INDEX('macs_ips'!$E$2:$E$403,AGGREGATE(15,6,(ROW('macs_ips'!$A$2:$A$403)-ROW(INDEX('macs_ips'!$A$2:$A$403,1,1))+1)/('macs_ips'!$E$2:$E$403=$J$1),ROW(A43))),"")</f>
        <v/>
      </c>
      <c r="F45" s="41">
        <f>IFERROR(INDEX('macs_ips'!$F$2:$F$403,AGGREGATE(15,6,(ROW('macs_ips'!$A$2:$A$403)-ROW(INDEX('macs_ips'!$A$2:$A$403,1,1))+1)/('macs_ips'!$E$2:$E$403=$J$1),ROW(A43))),"")</f>
        <v/>
      </c>
      <c r="G45" s="40">
        <f>IFERROR(INDEX('macs_ips'!$G$2:$G$403,AGGREGATE(15,6,(ROW('macs_ips'!$A$2:$A$403)-ROW(INDEX('macs_ips'!$A$2:$A$403,1,1))+1)/('macs_ips'!$E$2:$E$403=$J$1),ROW(A43))),"")</f>
        <v/>
      </c>
    </row>
    <row r="46">
      <c r="A46" s="40">
        <f>IFERROR(INDEX('macs_ips'!$A$2:$A$403,AGGREGATE(15,6,(ROW('macs_ips'!$A$2:$A$403)-ROW(INDEX('macs_ips'!$A$2:$A$403,1,1))+1)/('macs_ips'!$E$2:$E$403=$J$1),ROW(A44))),"")</f>
        <v/>
      </c>
      <c r="B46" s="40">
        <f>IFERROR(INDEX('macs_ips'!$B$2:$B$403,AGGREGATE(15,6,(ROW('macs_ips'!$A$2:$A$403)-ROW(INDEX('macs_ips'!$A$2:$A$403,1,1))+1)/('macs_ips'!$E$2:$E$403=$J$1),ROW(A44))),"")</f>
        <v/>
      </c>
      <c r="C46" s="40">
        <f>IFERROR(INDEX('macs_ips'!$C$2:$C$403,AGGREGATE(15,6,(ROW('macs_ips'!$A$2:$A$403)-ROW(INDEX('macs_ips'!$A$2:$A$403,1,1))+1)/('macs_ips'!$E$2:$E$403=$J$1),ROW(A44))),"")</f>
        <v/>
      </c>
      <c r="D46" s="41">
        <f>IFERROR(INDEX('macs_ips'!$D$2:$D$403,AGGREGATE(15,6,(ROW('macs_ips'!$A$2:$A$403)-ROW(INDEX('macs_ips'!$A$2:$A$403,1,1))+1)/('macs_ips'!$E$2:$E$403=$J$1),ROW(A44))),"")</f>
        <v/>
      </c>
      <c r="E46" s="40">
        <f>IFERROR(INDEX('macs_ips'!$E$2:$E$403,AGGREGATE(15,6,(ROW('macs_ips'!$A$2:$A$403)-ROW(INDEX('macs_ips'!$A$2:$A$403,1,1))+1)/('macs_ips'!$E$2:$E$403=$J$1),ROW(A44))),"")</f>
        <v/>
      </c>
      <c r="F46" s="41">
        <f>IFERROR(INDEX('macs_ips'!$F$2:$F$403,AGGREGATE(15,6,(ROW('macs_ips'!$A$2:$A$403)-ROW(INDEX('macs_ips'!$A$2:$A$403,1,1))+1)/('macs_ips'!$E$2:$E$403=$J$1),ROW(A44))),"")</f>
        <v/>
      </c>
      <c r="G46" s="40">
        <f>IFERROR(INDEX('macs_ips'!$G$2:$G$403,AGGREGATE(15,6,(ROW('macs_ips'!$A$2:$A$403)-ROW(INDEX('macs_ips'!$A$2:$A$403,1,1))+1)/('macs_ips'!$E$2:$E$403=$J$1),ROW(A44))),"")</f>
        <v/>
      </c>
    </row>
    <row r="47">
      <c r="A47" s="40">
        <f>IFERROR(INDEX('macs_ips'!$A$2:$A$403,AGGREGATE(15,6,(ROW('macs_ips'!$A$2:$A$403)-ROW(INDEX('macs_ips'!$A$2:$A$403,1,1))+1)/('macs_ips'!$E$2:$E$403=$J$1),ROW(A45))),"")</f>
        <v/>
      </c>
      <c r="B47" s="40">
        <f>IFERROR(INDEX('macs_ips'!$B$2:$B$403,AGGREGATE(15,6,(ROW('macs_ips'!$A$2:$A$403)-ROW(INDEX('macs_ips'!$A$2:$A$403,1,1))+1)/('macs_ips'!$E$2:$E$403=$J$1),ROW(A45))),"")</f>
        <v/>
      </c>
      <c r="C47" s="40">
        <f>IFERROR(INDEX('macs_ips'!$C$2:$C$403,AGGREGATE(15,6,(ROW('macs_ips'!$A$2:$A$403)-ROW(INDEX('macs_ips'!$A$2:$A$403,1,1))+1)/('macs_ips'!$E$2:$E$403=$J$1),ROW(A45))),"")</f>
        <v/>
      </c>
      <c r="D47" s="41">
        <f>IFERROR(INDEX('macs_ips'!$D$2:$D$403,AGGREGATE(15,6,(ROW('macs_ips'!$A$2:$A$403)-ROW(INDEX('macs_ips'!$A$2:$A$403,1,1))+1)/('macs_ips'!$E$2:$E$403=$J$1),ROW(A45))),"")</f>
        <v/>
      </c>
      <c r="E47" s="40">
        <f>IFERROR(INDEX('macs_ips'!$E$2:$E$403,AGGREGATE(15,6,(ROW('macs_ips'!$A$2:$A$403)-ROW(INDEX('macs_ips'!$A$2:$A$403,1,1))+1)/('macs_ips'!$E$2:$E$403=$J$1),ROW(A45))),"")</f>
        <v/>
      </c>
      <c r="F47" s="41">
        <f>IFERROR(INDEX('macs_ips'!$F$2:$F$403,AGGREGATE(15,6,(ROW('macs_ips'!$A$2:$A$403)-ROW(INDEX('macs_ips'!$A$2:$A$403,1,1))+1)/('macs_ips'!$E$2:$E$403=$J$1),ROW(A45))),"")</f>
        <v/>
      </c>
      <c r="G47" s="40">
        <f>IFERROR(INDEX('macs_ips'!$G$2:$G$403,AGGREGATE(15,6,(ROW('macs_ips'!$A$2:$A$403)-ROW(INDEX('macs_ips'!$A$2:$A$403,1,1))+1)/('macs_ips'!$E$2:$E$403=$J$1),ROW(A45))),"")</f>
        <v/>
      </c>
    </row>
    <row r="48">
      <c r="A48" s="40">
        <f>IFERROR(INDEX('macs_ips'!$A$2:$A$403,AGGREGATE(15,6,(ROW('macs_ips'!$A$2:$A$403)-ROW(INDEX('macs_ips'!$A$2:$A$403,1,1))+1)/('macs_ips'!$E$2:$E$403=$J$1),ROW(A46))),"")</f>
        <v/>
      </c>
      <c r="B48" s="40">
        <f>IFERROR(INDEX('macs_ips'!$B$2:$B$403,AGGREGATE(15,6,(ROW('macs_ips'!$A$2:$A$403)-ROW(INDEX('macs_ips'!$A$2:$A$403,1,1))+1)/('macs_ips'!$E$2:$E$403=$J$1),ROW(A46))),"")</f>
        <v/>
      </c>
      <c r="C48" s="40">
        <f>IFERROR(INDEX('macs_ips'!$C$2:$C$403,AGGREGATE(15,6,(ROW('macs_ips'!$A$2:$A$403)-ROW(INDEX('macs_ips'!$A$2:$A$403,1,1))+1)/('macs_ips'!$E$2:$E$403=$J$1),ROW(A46))),"")</f>
        <v/>
      </c>
      <c r="D48" s="41">
        <f>IFERROR(INDEX('macs_ips'!$D$2:$D$403,AGGREGATE(15,6,(ROW('macs_ips'!$A$2:$A$403)-ROW(INDEX('macs_ips'!$A$2:$A$403,1,1))+1)/('macs_ips'!$E$2:$E$403=$J$1),ROW(A46))),"")</f>
        <v/>
      </c>
      <c r="E48" s="40">
        <f>IFERROR(INDEX('macs_ips'!$E$2:$E$403,AGGREGATE(15,6,(ROW('macs_ips'!$A$2:$A$403)-ROW(INDEX('macs_ips'!$A$2:$A$403,1,1))+1)/('macs_ips'!$E$2:$E$403=$J$1),ROW(A46))),"")</f>
        <v/>
      </c>
      <c r="F48" s="41">
        <f>IFERROR(INDEX('macs_ips'!$F$2:$F$403,AGGREGATE(15,6,(ROW('macs_ips'!$A$2:$A$403)-ROW(INDEX('macs_ips'!$A$2:$A$403,1,1))+1)/('macs_ips'!$E$2:$E$403=$J$1),ROW(A46))),"")</f>
        <v/>
      </c>
      <c r="G48" s="40">
        <f>IFERROR(INDEX('macs_ips'!$G$2:$G$403,AGGREGATE(15,6,(ROW('macs_ips'!$A$2:$A$403)-ROW(INDEX('macs_ips'!$A$2:$A$403,1,1))+1)/('macs_ips'!$E$2:$E$403=$J$1),ROW(A46))),"")</f>
        <v/>
      </c>
    </row>
    <row r="49">
      <c r="A49" s="40">
        <f>IFERROR(INDEX('macs_ips'!$A$2:$A$403,AGGREGATE(15,6,(ROW('macs_ips'!$A$2:$A$403)-ROW(INDEX('macs_ips'!$A$2:$A$403,1,1))+1)/('macs_ips'!$E$2:$E$403=$J$1),ROW(A47))),"")</f>
        <v/>
      </c>
      <c r="B49" s="40">
        <f>IFERROR(INDEX('macs_ips'!$B$2:$B$403,AGGREGATE(15,6,(ROW('macs_ips'!$A$2:$A$403)-ROW(INDEX('macs_ips'!$A$2:$A$403,1,1))+1)/('macs_ips'!$E$2:$E$403=$J$1),ROW(A47))),"")</f>
        <v/>
      </c>
      <c r="C49" s="40">
        <f>IFERROR(INDEX('macs_ips'!$C$2:$C$403,AGGREGATE(15,6,(ROW('macs_ips'!$A$2:$A$403)-ROW(INDEX('macs_ips'!$A$2:$A$403,1,1))+1)/('macs_ips'!$E$2:$E$403=$J$1),ROW(A47))),"")</f>
        <v/>
      </c>
      <c r="D49" s="41">
        <f>IFERROR(INDEX('macs_ips'!$D$2:$D$403,AGGREGATE(15,6,(ROW('macs_ips'!$A$2:$A$403)-ROW(INDEX('macs_ips'!$A$2:$A$403,1,1))+1)/('macs_ips'!$E$2:$E$403=$J$1),ROW(A47))),"")</f>
        <v/>
      </c>
      <c r="E49" s="40">
        <f>IFERROR(INDEX('macs_ips'!$E$2:$E$403,AGGREGATE(15,6,(ROW('macs_ips'!$A$2:$A$403)-ROW(INDEX('macs_ips'!$A$2:$A$403,1,1))+1)/('macs_ips'!$E$2:$E$403=$J$1),ROW(A47))),"")</f>
        <v/>
      </c>
      <c r="F49" s="41">
        <f>IFERROR(INDEX('macs_ips'!$F$2:$F$403,AGGREGATE(15,6,(ROW('macs_ips'!$A$2:$A$403)-ROW(INDEX('macs_ips'!$A$2:$A$403,1,1))+1)/('macs_ips'!$E$2:$E$403=$J$1),ROW(A47))),"")</f>
        <v/>
      </c>
      <c r="G49" s="40">
        <f>IFERROR(INDEX('macs_ips'!$G$2:$G$403,AGGREGATE(15,6,(ROW('macs_ips'!$A$2:$A$403)-ROW(INDEX('macs_ips'!$A$2:$A$403,1,1))+1)/('macs_ips'!$E$2:$E$403=$J$1),ROW(A47))),"")</f>
        <v/>
      </c>
    </row>
    <row r="50">
      <c r="A50" s="40">
        <f>IFERROR(INDEX('macs_ips'!$A$2:$A$403,AGGREGATE(15,6,(ROW('macs_ips'!$A$2:$A$403)-ROW(INDEX('macs_ips'!$A$2:$A$403,1,1))+1)/('macs_ips'!$E$2:$E$403=$J$1),ROW(A48))),"")</f>
        <v/>
      </c>
      <c r="B50" s="40">
        <f>IFERROR(INDEX('macs_ips'!$B$2:$B$403,AGGREGATE(15,6,(ROW('macs_ips'!$A$2:$A$403)-ROW(INDEX('macs_ips'!$A$2:$A$403,1,1))+1)/('macs_ips'!$E$2:$E$403=$J$1),ROW(A48))),"")</f>
        <v/>
      </c>
      <c r="C50" s="40">
        <f>IFERROR(INDEX('macs_ips'!$C$2:$C$403,AGGREGATE(15,6,(ROW('macs_ips'!$A$2:$A$403)-ROW(INDEX('macs_ips'!$A$2:$A$403,1,1))+1)/('macs_ips'!$E$2:$E$403=$J$1),ROW(A48))),"")</f>
        <v/>
      </c>
      <c r="D50" s="41">
        <f>IFERROR(INDEX('macs_ips'!$D$2:$D$403,AGGREGATE(15,6,(ROW('macs_ips'!$A$2:$A$403)-ROW(INDEX('macs_ips'!$A$2:$A$403,1,1))+1)/('macs_ips'!$E$2:$E$403=$J$1),ROW(A48))),"")</f>
        <v/>
      </c>
      <c r="E50" s="40">
        <f>IFERROR(INDEX('macs_ips'!$E$2:$E$403,AGGREGATE(15,6,(ROW('macs_ips'!$A$2:$A$403)-ROW(INDEX('macs_ips'!$A$2:$A$403,1,1))+1)/('macs_ips'!$E$2:$E$403=$J$1),ROW(A48))),"")</f>
        <v/>
      </c>
      <c r="F50" s="41">
        <f>IFERROR(INDEX('macs_ips'!$F$2:$F$403,AGGREGATE(15,6,(ROW('macs_ips'!$A$2:$A$403)-ROW(INDEX('macs_ips'!$A$2:$A$403,1,1))+1)/('macs_ips'!$E$2:$E$403=$J$1),ROW(A48))),"")</f>
        <v/>
      </c>
      <c r="G50" s="40">
        <f>IFERROR(INDEX('macs_ips'!$G$2:$G$403,AGGREGATE(15,6,(ROW('macs_ips'!$A$2:$A$403)-ROW(INDEX('macs_ips'!$A$2:$A$403,1,1))+1)/('macs_ips'!$E$2:$E$403=$J$1),ROW(A48))),"")</f>
        <v/>
      </c>
    </row>
    <row r="51">
      <c r="A51" s="40">
        <f>IFERROR(INDEX('macs_ips'!$A$2:$A$403,AGGREGATE(15,6,(ROW('macs_ips'!$A$2:$A$403)-ROW(INDEX('macs_ips'!$A$2:$A$403,1,1))+1)/('macs_ips'!$E$2:$E$403=$J$1),ROW(A49))),"")</f>
        <v/>
      </c>
      <c r="B51" s="40">
        <f>IFERROR(INDEX('macs_ips'!$B$2:$B$403,AGGREGATE(15,6,(ROW('macs_ips'!$A$2:$A$403)-ROW(INDEX('macs_ips'!$A$2:$A$403,1,1))+1)/('macs_ips'!$E$2:$E$403=$J$1),ROW(A49))),"")</f>
        <v/>
      </c>
      <c r="C51" s="40">
        <f>IFERROR(INDEX('macs_ips'!$C$2:$C$403,AGGREGATE(15,6,(ROW('macs_ips'!$A$2:$A$403)-ROW(INDEX('macs_ips'!$A$2:$A$403,1,1))+1)/('macs_ips'!$E$2:$E$403=$J$1),ROW(A49))),"")</f>
        <v/>
      </c>
      <c r="D51" s="41">
        <f>IFERROR(INDEX('macs_ips'!$D$2:$D$403,AGGREGATE(15,6,(ROW('macs_ips'!$A$2:$A$403)-ROW(INDEX('macs_ips'!$A$2:$A$403,1,1))+1)/('macs_ips'!$E$2:$E$403=$J$1),ROW(A49))),"")</f>
        <v/>
      </c>
      <c r="E51" s="40">
        <f>IFERROR(INDEX('macs_ips'!$E$2:$E$403,AGGREGATE(15,6,(ROW('macs_ips'!$A$2:$A$403)-ROW(INDEX('macs_ips'!$A$2:$A$403,1,1))+1)/('macs_ips'!$E$2:$E$403=$J$1),ROW(A49))),"")</f>
        <v/>
      </c>
      <c r="F51" s="41">
        <f>IFERROR(INDEX('macs_ips'!$F$2:$F$403,AGGREGATE(15,6,(ROW('macs_ips'!$A$2:$A$403)-ROW(INDEX('macs_ips'!$A$2:$A$403,1,1))+1)/('macs_ips'!$E$2:$E$403=$J$1),ROW(A49))),"")</f>
        <v/>
      </c>
      <c r="G51" s="40">
        <f>IFERROR(INDEX('macs_ips'!$G$2:$G$403,AGGREGATE(15,6,(ROW('macs_ips'!$A$2:$A$403)-ROW(INDEX('macs_ips'!$A$2:$A$403,1,1))+1)/('macs_ips'!$E$2:$E$403=$J$1),ROW(A49))),"")</f>
        <v/>
      </c>
    </row>
    <row r="52">
      <c r="A52" s="40">
        <f>IFERROR(INDEX('macs_ips'!$A$2:$A$403,AGGREGATE(15,6,(ROW('macs_ips'!$A$2:$A$403)-ROW(INDEX('macs_ips'!$A$2:$A$403,1,1))+1)/('macs_ips'!$E$2:$E$403=$J$1),ROW(A50))),"")</f>
        <v/>
      </c>
      <c r="B52" s="40">
        <f>IFERROR(INDEX('macs_ips'!$B$2:$B$403,AGGREGATE(15,6,(ROW('macs_ips'!$A$2:$A$403)-ROW(INDEX('macs_ips'!$A$2:$A$403,1,1))+1)/('macs_ips'!$E$2:$E$403=$J$1),ROW(A50))),"")</f>
        <v/>
      </c>
      <c r="C52" s="40">
        <f>IFERROR(INDEX('macs_ips'!$C$2:$C$403,AGGREGATE(15,6,(ROW('macs_ips'!$A$2:$A$403)-ROW(INDEX('macs_ips'!$A$2:$A$403,1,1))+1)/('macs_ips'!$E$2:$E$403=$J$1),ROW(A50))),"")</f>
        <v/>
      </c>
      <c r="D52" s="41">
        <f>IFERROR(INDEX('macs_ips'!$D$2:$D$403,AGGREGATE(15,6,(ROW('macs_ips'!$A$2:$A$403)-ROW(INDEX('macs_ips'!$A$2:$A$403,1,1))+1)/('macs_ips'!$E$2:$E$403=$J$1),ROW(A50))),"")</f>
        <v/>
      </c>
      <c r="E52" s="40">
        <f>IFERROR(INDEX('macs_ips'!$E$2:$E$403,AGGREGATE(15,6,(ROW('macs_ips'!$A$2:$A$403)-ROW(INDEX('macs_ips'!$A$2:$A$403,1,1))+1)/('macs_ips'!$E$2:$E$403=$J$1),ROW(A50))),"")</f>
        <v/>
      </c>
      <c r="F52" s="41">
        <f>IFERROR(INDEX('macs_ips'!$F$2:$F$403,AGGREGATE(15,6,(ROW('macs_ips'!$A$2:$A$403)-ROW(INDEX('macs_ips'!$A$2:$A$403,1,1))+1)/('macs_ips'!$E$2:$E$403=$J$1),ROW(A50))),"")</f>
        <v/>
      </c>
      <c r="G52" s="40">
        <f>IFERROR(INDEX('macs_ips'!$G$2:$G$403,AGGREGATE(15,6,(ROW('macs_ips'!$A$2:$A$403)-ROW(INDEX('macs_ips'!$A$2:$A$403,1,1))+1)/('macs_ips'!$E$2:$E$403=$J$1),ROW(A50))),"")</f>
        <v/>
      </c>
    </row>
    <row r="53">
      <c r="A53" s="40">
        <f>IFERROR(INDEX('macs_ips'!$A$2:$A$403,AGGREGATE(15,6,(ROW('macs_ips'!$A$2:$A$403)-ROW(INDEX('macs_ips'!$A$2:$A$403,1,1))+1)/('macs_ips'!$E$2:$E$403=$J$1),ROW(A51))),"")</f>
        <v/>
      </c>
      <c r="B53" s="40">
        <f>IFERROR(INDEX('macs_ips'!$B$2:$B$403,AGGREGATE(15,6,(ROW('macs_ips'!$A$2:$A$403)-ROW(INDEX('macs_ips'!$A$2:$A$403,1,1))+1)/('macs_ips'!$E$2:$E$403=$J$1),ROW(A51))),"")</f>
        <v/>
      </c>
      <c r="C53" s="40">
        <f>IFERROR(INDEX('macs_ips'!$C$2:$C$403,AGGREGATE(15,6,(ROW('macs_ips'!$A$2:$A$403)-ROW(INDEX('macs_ips'!$A$2:$A$403,1,1))+1)/('macs_ips'!$E$2:$E$403=$J$1),ROW(A51))),"")</f>
        <v/>
      </c>
      <c r="D53" s="41">
        <f>IFERROR(INDEX('macs_ips'!$D$2:$D$403,AGGREGATE(15,6,(ROW('macs_ips'!$A$2:$A$403)-ROW(INDEX('macs_ips'!$A$2:$A$403,1,1))+1)/('macs_ips'!$E$2:$E$403=$J$1),ROW(A51))),"")</f>
        <v/>
      </c>
      <c r="E53" s="40">
        <f>IFERROR(INDEX('macs_ips'!$E$2:$E$403,AGGREGATE(15,6,(ROW('macs_ips'!$A$2:$A$403)-ROW(INDEX('macs_ips'!$A$2:$A$403,1,1))+1)/('macs_ips'!$E$2:$E$403=$J$1),ROW(A51))),"")</f>
        <v/>
      </c>
      <c r="F53" s="41">
        <f>IFERROR(INDEX('macs_ips'!$F$2:$F$403,AGGREGATE(15,6,(ROW('macs_ips'!$A$2:$A$403)-ROW(INDEX('macs_ips'!$A$2:$A$403,1,1))+1)/('macs_ips'!$E$2:$E$403=$J$1),ROW(A51))),"")</f>
        <v/>
      </c>
      <c r="G53" s="40">
        <f>IFERROR(INDEX('macs_ips'!$G$2:$G$403,AGGREGATE(15,6,(ROW('macs_ips'!$A$2:$A$403)-ROW(INDEX('macs_ips'!$A$2:$A$403,1,1))+1)/('macs_ips'!$E$2:$E$403=$J$1),ROW(A51))),"")</f>
        <v/>
      </c>
    </row>
    <row r="54">
      <c r="A54" s="40">
        <f>IFERROR(INDEX('macs_ips'!$A$2:$A$403,AGGREGATE(15,6,(ROW('macs_ips'!$A$2:$A$403)-ROW(INDEX('macs_ips'!$A$2:$A$403,1,1))+1)/('macs_ips'!$E$2:$E$403=$J$1),ROW(A52))),"")</f>
        <v/>
      </c>
      <c r="B54" s="40">
        <f>IFERROR(INDEX('macs_ips'!$B$2:$B$403,AGGREGATE(15,6,(ROW('macs_ips'!$A$2:$A$403)-ROW(INDEX('macs_ips'!$A$2:$A$403,1,1))+1)/('macs_ips'!$E$2:$E$403=$J$1),ROW(A52))),"")</f>
        <v/>
      </c>
      <c r="C54" s="40">
        <f>IFERROR(INDEX('macs_ips'!$C$2:$C$403,AGGREGATE(15,6,(ROW('macs_ips'!$A$2:$A$403)-ROW(INDEX('macs_ips'!$A$2:$A$403,1,1))+1)/('macs_ips'!$E$2:$E$403=$J$1),ROW(A52))),"")</f>
        <v/>
      </c>
      <c r="D54" s="41">
        <f>IFERROR(INDEX('macs_ips'!$D$2:$D$403,AGGREGATE(15,6,(ROW('macs_ips'!$A$2:$A$403)-ROW(INDEX('macs_ips'!$A$2:$A$403,1,1))+1)/('macs_ips'!$E$2:$E$403=$J$1),ROW(A52))),"")</f>
        <v/>
      </c>
      <c r="E54" s="40">
        <f>IFERROR(INDEX('macs_ips'!$E$2:$E$403,AGGREGATE(15,6,(ROW('macs_ips'!$A$2:$A$403)-ROW(INDEX('macs_ips'!$A$2:$A$403,1,1))+1)/('macs_ips'!$E$2:$E$403=$J$1),ROW(A52))),"")</f>
        <v/>
      </c>
      <c r="F54" s="41">
        <f>IFERROR(INDEX('macs_ips'!$F$2:$F$403,AGGREGATE(15,6,(ROW('macs_ips'!$A$2:$A$403)-ROW(INDEX('macs_ips'!$A$2:$A$403,1,1))+1)/('macs_ips'!$E$2:$E$403=$J$1),ROW(A52))),"")</f>
        <v/>
      </c>
      <c r="G54" s="40">
        <f>IFERROR(INDEX('macs_ips'!$G$2:$G$403,AGGREGATE(15,6,(ROW('macs_ips'!$A$2:$A$403)-ROW(INDEX('macs_ips'!$A$2:$A$403,1,1))+1)/('macs_ips'!$E$2:$E$403=$J$1),ROW(A52))),"")</f>
        <v/>
      </c>
    </row>
    <row r="55">
      <c r="A55" s="40">
        <f>IFERROR(INDEX('macs_ips'!$A$2:$A$403,AGGREGATE(15,6,(ROW('macs_ips'!$A$2:$A$403)-ROW(INDEX('macs_ips'!$A$2:$A$403,1,1))+1)/('macs_ips'!$E$2:$E$403=$J$1),ROW(A53))),"")</f>
        <v/>
      </c>
      <c r="B55" s="40">
        <f>IFERROR(INDEX('macs_ips'!$B$2:$B$403,AGGREGATE(15,6,(ROW('macs_ips'!$A$2:$A$403)-ROW(INDEX('macs_ips'!$A$2:$A$403,1,1))+1)/('macs_ips'!$E$2:$E$403=$J$1),ROW(A53))),"")</f>
        <v/>
      </c>
      <c r="C55" s="40">
        <f>IFERROR(INDEX('macs_ips'!$C$2:$C$403,AGGREGATE(15,6,(ROW('macs_ips'!$A$2:$A$403)-ROW(INDEX('macs_ips'!$A$2:$A$403,1,1))+1)/('macs_ips'!$E$2:$E$403=$J$1),ROW(A53))),"")</f>
        <v/>
      </c>
      <c r="D55" s="41">
        <f>IFERROR(INDEX('macs_ips'!$D$2:$D$403,AGGREGATE(15,6,(ROW('macs_ips'!$A$2:$A$403)-ROW(INDEX('macs_ips'!$A$2:$A$403,1,1))+1)/('macs_ips'!$E$2:$E$403=$J$1),ROW(A53))),"")</f>
        <v/>
      </c>
      <c r="E55" s="40">
        <f>IFERROR(INDEX('macs_ips'!$E$2:$E$403,AGGREGATE(15,6,(ROW('macs_ips'!$A$2:$A$403)-ROW(INDEX('macs_ips'!$A$2:$A$403,1,1))+1)/('macs_ips'!$E$2:$E$403=$J$1),ROW(A53))),"")</f>
        <v/>
      </c>
      <c r="F55" s="41">
        <f>IFERROR(INDEX('macs_ips'!$F$2:$F$403,AGGREGATE(15,6,(ROW('macs_ips'!$A$2:$A$403)-ROW(INDEX('macs_ips'!$A$2:$A$403,1,1))+1)/('macs_ips'!$E$2:$E$403=$J$1),ROW(A53))),"")</f>
        <v/>
      </c>
      <c r="G55" s="40">
        <f>IFERROR(INDEX('macs_ips'!$G$2:$G$403,AGGREGATE(15,6,(ROW('macs_ips'!$A$2:$A$403)-ROW(INDEX('macs_ips'!$A$2:$A$403,1,1))+1)/('macs_ips'!$E$2:$E$403=$J$1),ROW(A53))),"")</f>
        <v/>
      </c>
    </row>
    <row r="56">
      <c r="A56" s="40">
        <f>IFERROR(INDEX('macs_ips'!$A$2:$A$403,AGGREGATE(15,6,(ROW('macs_ips'!$A$2:$A$403)-ROW(INDEX('macs_ips'!$A$2:$A$403,1,1))+1)/('macs_ips'!$E$2:$E$403=$J$1),ROW(A54))),"")</f>
        <v/>
      </c>
      <c r="B56" s="40">
        <f>IFERROR(INDEX('macs_ips'!$B$2:$B$403,AGGREGATE(15,6,(ROW('macs_ips'!$A$2:$A$403)-ROW(INDEX('macs_ips'!$A$2:$A$403,1,1))+1)/('macs_ips'!$E$2:$E$403=$J$1),ROW(A54))),"")</f>
        <v/>
      </c>
      <c r="C56" s="40">
        <f>IFERROR(INDEX('macs_ips'!$C$2:$C$403,AGGREGATE(15,6,(ROW('macs_ips'!$A$2:$A$403)-ROW(INDEX('macs_ips'!$A$2:$A$403,1,1))+1)/('macs_ips'!$E$2:$E$403=$J$1),ROW(A54))),"")</f>
        <v/>
      </c>
      <c r="D56" s="41">
        <f>IFERROR(INDEX('macs_ips'!$D$2:$D$403,AGGREGATE(15,6,(ROW('macs_ips'!$A$2:$A$403)-ROW(INDEX('macs_ips'!$A$2:$A$403,1,1))+1)/('macs_ips'!$E$2:$E$403=$J$1),ROW(A54))),"")</f>
        <v/>
      </c>
      <c r="E56" s="40">
        <f>IFERROR(INDEX('macs_ips'!$E$2:$E$403,AGGREGATE(15,6,(ROW('macs_ips'!$A$2:$A$403)-ROW(INDEX('macs_ips'!$A$2:$A$403,1,1))+1)/('macs_ips'!$E$2:$E$403=$J$1),ROW(A54))),"")</f>
        <v/>
      </c>
      <c r="F56" s="41">
        <f>IFERROR(INDEX('macs_ips'!$F$2:$F$403,AGGREGATE(15,6,(ROW('macs_ips'!$A$2:$A$403)-ROW(INDEX('macs_ips'!$A$2:$A$403,1,1))+1)/('macs_ips'!$E$2:$E$403=$J$1),ROW(A54))),"")</f>
        <v/>
      </c>
      <c r="G56" s="40">
        <f>IFERROR(INDEX('macs_ips'!$G$2:$G$403,AGGREGATE(15,6,(ROW('macs_ips'!$A$2:$A$403)-ROW(INDEX('macs_ips'!$A$2:$A$403,1,1))+1)/('macs_ips'!$E$2:$E$403=$J$1),ROW(A54))),"")</f>
        <v/>
      </c>
    </row>
    <row r="57">
      <c r="A57" s="40">
        <f>IFERROR(INDEX('macs_ips'!$A$2:$A$403,AGGREGATE(15,6,(ROW('macs_ips'!$A$2:$A$403)-ROW(INDEX('macs_ips'!$A$2:$A$403,1,1))+1)/('macs_ips'!$E$2:$E$403=$J$1),ROW(A55))),"")</f>
        <v/>
      </c>
      <c r="B57" s="40">
        <f>IFERROR(INDEX('macs_ips'!$B$2:$B$403,AGGREGATE(15,6,(ROW('macs_ips'!$A$2:$A$403)-ROW(INDEX('macs_ips'!$A$2:$A$403,1,1))+1)/('macs_ips'!$E$2:$E$403=$J$1),ROW(A55))),"")</f>
        <v/>
      </c>
      <c r="C57" s="40">
        <f>IFERROR(INDEX('macs_ips'!$C$2:$C$403,AGGREGATE(15,6,(ROW('macs_ips'!$A$2:$A$403)-ROW(INDEX('macs_ips'!$A$2:$A$403,1,1))+1)/('macs_ips'!$E$2:$E$403=$J$1),ROW(A55))),"")</f>
        <v/>
      </c>
      <c r="D57" s="41">
        <f>IFERROR(INDEX('macs_ips'!$D$2:$D$403,AGGREGATE(15,6,(ROW('macs_ips'!$A$2:$A$403)-ROW(INDEX('macs_ips'!$A$2:$A$403,1,1))+1)/('macs_ips'!$E$2:$E$403=$J$1),ROW(A55))),"")</f>
        <v/>
      </c>
      <c r="E57" s="40">
        <f>IFERROR(INDEX('macs_ips'!$E$2:$E$403,AGGREGATE(15,6,(ROW('macs_ips'!$A$2:$A$403)-ROW(INDEX('macs_ips'!$A$2:$A$403,1,1))+1)/('macs_ips'!$E$2:$E$403=$J$1),ROW(A55))),"")</f>
        <v/>
      </c>
      <c r="F57" s="41">
        <f>IFERROR(INDEX('macs_ips'!$F$2:$F$403,AGGREGATE(15,6,(ROW('macs_ips'!$A$2:$A$403)-ROW(INDEX('macs_ips'!$A$2:$A$403,1,1))+1)/('macs_ips'!$E$2:$E$403=$J$1),ROW(A55))),"")</f>
        <v/>
      </c>
      <c r="G57" s="40">
        <f>IFERROR(INDEX('macs_ips'!$G$2:$G$403,AGGREGATE(15,6,(ROW('macs_ips'!$A$2:$A$403)-ROW(INDEX('macs_ips'!$A$2:$A$403,1,1))+1)/('macs_ips'!$E$2:$E$403=$J$1),ROW(A55))),"")</f>
        <v/>
      </c>
    </row>
    <row r="58">
      <c r="A58" s="40">
        <f>IFERROR(INDEX('macs_ips'!$A$2:$A$403,AGGREGATE(15,6,(ROW('macs_ips'!$A$2:$A$403)-ROW(INDEX('macs_ips'!$A$2:$A$403,1,1))+1)/('macs_ips'!$E$2:$E$403=$J$1),ROW(A56))),"")</f>
        <v/>
      </c>
      <c r="B58" s="40">
        <f>IFERROR(INDEX('macs_ips'!$B$2:$B$403,AGGREGATE(15,6,(ROW('macs_ips'!$A$2:$A$403)-ROW(INDEX('macs_ips'!$A$2:$A$403,1,1))+1)/('macs_ips'!$E$2:$E$403=$J$1),ROW(A56))),"")</f>
        <v/>
      </c>
      <c r="C58" s="40">
        <f>IFERROR(INDEX('macs_ips'!$C$2:$C$403,AGGREGATE(15,6,(ROW('macs_ips'!$A$2:$A$403)-ROW(INDEX('macs_ips'!$A$2:$A$403,1,1))+1)/('macs_ips'!$E$2:$E$403=$J$1),ROW(A56))),"")</f>
        <v/>
      </c>
      <c r="D58" s="41">
        <f>IFERROR(INDEX('macs_ips'!$D$2:$D$403,AGGREGATE(15,6,(ROW('macs_ips'!$A$2:$A$403)-ROW(INDEX('macs_ips'!$A$2:$A$403,1,1))+1)/('macs_ips'!$E$2:$E$403=$J$1),ROW(A56))),"")</f>
        <v/>
      </c>
      <c r="E58" s="40">
        <f>IFERROR(INDEX('macs_ips'!$E$2:$E$403,AGGREGATE(15,6,(ROW('macs_ips'!$A$2:$A$403)-ROW(INDEX('macs_ips'!$A$2:$A$403,1,1))+1)/('macs_ips'!$E$2:$E$403=$J$1),ROW(A56))),"")</f>
        <v/>
      </c>
      <c r="F58" s="41">
        <f>IFERROR(INDEX('macs_ips'!$F$2:$F$403,AGGREGATE(15,6,(ROW('macs_ips'!$A$2:$A$403)-ROW(INDEX('macs_ips'!$A$2:$A$403,1,1))+1)/('macs_ips'!$E$2:$E$403=$J$1),ROW(A56))),"")</f>
        <v/>
      </c>
      <c r="G58" s="40">
        <f>IFERROR(INDEX('macs_ips'!$G$2:$G$403,AGGREGATE(15,6,(ROW('macs_ips'!$A$2:$A$403)-ROW(INDEX('macs_ips'!$A$2:$A$403,1,1))+1)/('macs_ips'!$E$2:$E$403=$J$1),ROW(A56))),"")</f>
        <v/>
      </c>
    </row>
    <row r="59">
      <c r="A59" s="40">
        <f>IFERROR(INDEX('macs_ips'!$A$2:$A$403,AGGREGATE(15,6,(ROW('macs_ips'!$A$2:$A$403)-ROW(INDEX('macs_ips'!$A$2:$A$403,1,1))+1)/('macs_ips'!$E$2:$E$403=$J$1),ROW(A57))),"")</f>
        <v/>
      </c>
      <c r="B59" s="40">
        <f>IFERROR(INDEX('macs_ips'!$B$2:$B$403,AGGREGATE(15,6,(ROW('macs_ips'!$A$2:$A$403)-ROW(INDEX('macs_ips'!$A$2:$A$403,1,1))+1)/('macs_ips'!$E$2:$E$403=$J$1),ROW(A57))),"")</f>
        <v/>
      </c>
      <c r="C59" s="40">
        <f>IFERROR(INDEX('macs_ips'!$C$2:$C$403,AGGREGATE(15,6,(ROW('macs_ips'!$A$2:$A$403)-ROW(INDEX('macs_ips'!$A$2:$A$403,1,1))+1)/('macs_ips'!$E$2:$E$403=$J$1),ROW(A57))),"")</f>
        <v/>
      </c>
      <c r="D59" s="41">
        <f>IFERROR(INDEX('macs_ips'!$D$2:$D$403,AGGREGATE(15,6,(ROW('macs_ips'!$A$2:$A$403)-ROW(INDEX('macs_ips'!$A$2:$A$403,1,1))+1)/('macs_ips'!$E$2:$E$403=$J$1),ROW(A57))),"")</f>
        <v/>
      </c>
      <c r="E59" s="40">
        <f>IFERROR(INDEX('macs_ips'!$E$2:$E$403,AGGREGATE(15,6,(ROW('macs_ips'!$A$2:$A$403)-ROW(INDEX('macs_ips'!$A$2:$A$403,1,1))+1)/('macs_ips'!$E$2:$E$403=$J$1),ROW(A57))),"")</f>
        <v/>
      </c>
      <c r="F59" s="41">
        <f>IFERROR(INDEX('macs_ips'!$F$2:$F$403,AGGREGATE(15,6,(ROW('macs_ips'!$A$2:$A$403)-ROW(INDEX('macs_ips'!$A$2:$A$403,1,1))+1)/('macs_ips'!$E$2:$E$403=$J$1),ROW(A57))),"")</f>
        <v/>
      </c>
      <c r="G59" s="40">
        <f>IFERROR(INDEX('macs_ips'!$G$2:$G$403,AGGREGATE(15,6,(ROW('macs_ips'!$A$2:$A$403)-ROW(INDEX('macs_ips'!$A$2:$A$403,1,1))+1)/('macs_ips'!$E$2:$E$403=$J$1),ROW(A57))),"")</f>
        <v/>
      </c>
    </row>
    <row r="60">
      <c r="A60" s="40">
        <f>IFERROR(INDEX('macs_ips'!$A$2:$A$403,AGGREGATE(15,6,(ROW('macs_ips'!$A$2:$A$403)-ROW(INDEX('macs_ips'!$A$2:$A$403,1,1))+1)/('macs_ips'!$E$2:$E$403=$J$1),ROW(A58))),"")</f>
        <v/>
      </c>
      <c r="B60" s="40">
        <f>IFERROR(INDEX('macs_ips'!$B$2:$B$403,AGGREGATE(15,6,(ROW('macs_ips'!$A$2:$A$403)-ROW(INDEX('macs_ips'!$A$2:$A$403,1,1))+1)/('macs_ips'!$E$2:$E$403=$J$1),ROW(A58))),"")</f>
        <v/>
      </c>
      <c r="C60" s="40">
        <f>IFERROR(INDEX('macs_ips'!$C$2:$C$403,AGGREGATE(15,6,(ROW('macs_ips'!$A$2:$A$403)-ROW(INDEX('macs_ips'!$A$2:$A$403,1,1))+1)/('macs_ips'!$E$2:$E$403=$J$1),ROW(A58))),"")</f>
        <v/>
      </c>
      <c r="D60" s="41">
        <f>IFERROR(INDEX('macs_ips'!$D$2:$D$403,AGGREGATE(15,6,(ROW('macs_ips'!$A$2:$A$403)-ROW(INDEX('macs_ips'!$A$2:$A$403,1,1))+1)/('macs_ips'!$E$2:$E$403=$J$1),ROW(A58))),"")</f>
        <v/>
      </c>
      <c r="E60" s="40">
        <f>IFERROR(INDEX('macs_ips'!$E$2:$E$403,AGGREGATE(15,6,(ROW('macs_ips'!$A$2:$A$403)-ROW(INDEX('macs_ips'!$A$2:$A$403,1,1))+1)/('macs_ips'!$E$2:$E$403=$J$1),ROW(A58))),"")</f>
        <v/>
      </c>
      <c r="F60" s="41">
        <f>IFERROR(INDEX('macs_ips'!$F$2:$F$403,AGGREGATE(15,6,(ROW('macs_ips'!$A$2:$A$403)-ROW(INDEX('macs_ips'!$A$2:$A$403,1,1))+1)/('macs_ips'!$E$2:$E$403=$J$1),ROW(A58))),"")</f>
        <v/>
      </c>
      <c r="G60" s="40">
        <f>IFERROR(INDEX('macs_ips'!$G$2:$G$403,AGGREGATE(15,6,(ROW('macs_ips'!$A$2:$A$403)-ROW(INDEX('macs_ips'!$A$2:$A$403,1,1))+1)/('macs_ips'!$E$2:$E$403=$J$1),ROW(A58))),"")</f>
        <v/>
      </c>
    </row>
    <row r="61">
      <c r="A61" s="40">
        <f>IFERROR(INDEX('macs_ips'!$A$2:$A$403,AGGREGATE(15,6,(ROW('macs_ips'!$A$2:$A$403)-ROW(INDEX('macs_ips'!$A$2:$A$403,1,1))+1)/('macs_ips'!$E$2:$E$403=$J$1),ROW(A59))),"")</f>
        <v/>
      </c>
      <c r="B61" s="40">
        <f>IFERROR(INDEX('macs_ips'!$B$2:$B$403,AGGREGATE(15,6,(ROW('macs_ips'!$A$2:$A$403)-ROW(INDEX('macs_ips'!$A$2:$A$403,1,1))+1)/('macs_ips'!$E$2:$E$403=$J$1),ROW(A59))),"")</f>
        <v/>
      </c>
      <c r="C61" s="40">
        <f>IFERROR(INDEX('macs_ips'!$C$2:$C$403,AGGREGATE(15,6,(ROW('macs_ips'!$A$2:$A$403)-ROW(INDEX('macs_ips'!$A$2:$A$403,1,1))+1)/('macs_ips'!$E$2:$E$403=$J$1),ROW(A59))),"")</f>
        <v/>
      </c>
      <c r="D61" s="41">
        <f>IFERROR(INDEX('macs_ips'!$D$2:$D$403,AGGREGATE(15,6,(ROW('macs_ips'!$A$2:$A$403)-ROW(INDEX('macs_ips'!$A$2:$A$403,1,1))+1)/('macs_ips'!$E$2:$E$403=$J$1),ROW(A59))),"")</f>
        <v/>
      </c>
      <c r="E61" s="40">
        <f>IFERROR(INDEX('macs_ips'!$E$2:$E$403,AGGREGATE(15,6,(ROW('macs_ips'!$A$2:$A$403)-ROW(INDEX('macs_ips'!$A$2:$A$403,1,1))+1)/('macs_ips'!$E$2:$E$403=$J$1),ROW(A59))),"")</f>
        <v/>
      </c>
      <c r="F61" s="41">
        <f>IFERROR(INDEX('macs_ips'!$F$2:$F$403,AGGREGATE(15,6,(ROW('macs_ips'!$A$2:$A$403)-ROW(INDEX('macs_ips'!$A$2:$A$403,1,1))+1)/('macs_ips'!$E$2:$E$403=$J$1),ROW(A59))),"")</f>
        <v/>
      </c>
      <c r="G61" s="40">
        <f>IFERROR(INDEX('macs_ips'!$G$2:$G$403,AGGREGATE(15,6,(ROW('macs_ips'!$A$2:$A$403)-ROW(INDEX('macs_ips'!$A$2:$A$403,1,1))+1)/('macs_ips'!$E$2:$E$403=$J$1),ROW(A59))),"")</f>
        <v/>
      </c>
    </row>
    <row r="62">
      <c r="A62" s="40">
        <f>IFERROR(INDEX('macs_ips'!$A$2:$A$403,AGGREGATE(15,6,(ROW('macs_ips'!$A$2:$A$403)-ROW(INDEX('macs_ips'!$A$2:$A$403,1,1))+1)/('macs_ips'!$E$2:$E$403=$J$1),ROW(A60))),"")</f>
        <v/>
      </c>
      <c r="B62" s="40">
        <f>IFERROR(INDEX('macs_ips'!$B$2:$B$403,AGGREGATE(15,6,(ROW('macs_ips'!$A$2:$A$403)-ROW(INDEX('macs_ips'!$A$2:$A$403,1,1))+1)/('macs_ips'!$E$2:$E$403=$J$1),ROW(A60))),"")</f>
        <v/>
      </c>
      <c r="C62" s="40">
        <f>IFERROR(INDEX('macs_ips'!$C$2:$C$403,AGGREGATE(15,6,(ROW('macs_ips'!$A$2:$A$403)-ROW(INDEX('macs_ips'!$A$2:$A$403,1,1))+1)/('macs_ips'!$E$2:$E$403=$J$1),ROW(A60))),"")</f>
        <v/>
      </c>
      <c r="D62" s="41">
        <f>IFERROR(INDEX('macs_ips'!$D$2:$D$403,AGGREGATE(15,6,(ROW('macs_ips'!$A$2:$A$403)-ROW(INDEX('macs_ips'!$A$2:$A$403,1,1))+1)/('macs_ips'!$E$2:$E$403=$J$1),ROW(A60))),"")</f>
        <v/>
      </c>
      <c r="E62" s="40">
        <f>IFERROR(INDEX('macs_ips'!$E$2:$E$403,AGGREGATE(15,6,(ROW('macs_ips'!$A$2:$A$403)-ROW(INDEX('macs_ips'!$A$2:$A$403,1,1))+1)/('macs_ips'!$E$2:$E$403=$J$1),ROW(A60))),"")</f>
        <v/>
      </c>
      <c r="F62" s="41">
        <f>IFERROR(INDEX('macs_ips'!$F$2:$F$403,AGGREGATE(15,6,(ROW('macs_ips'!$A$2:$A$403)-ROW(INDEX('macs_ips'!$A$2:$A$403,1,1))+1)/('macs_ips'!$E$2:$E$403=$J$1),ROW(A60))),"")</f>
        <v/>
      </c>
      <c r="G62" s="40">
        <f>IFERROR(INDEX('macs_ips'!$G$2:$G$403,AGGREGATE(15,6,(ROW('macs_ips'!$A$2:$A$403)-ROW(INDEX('macs_ips'!$A$2:$A$403,1,1))+1)/('macs_ips'!$E$2:$E$403=$J$1),ROW(A60))),"")</f>
        <v/>
      </c>
    </row>
    <row r="63">
      <c r="A63" s="40">
        <f>IFERROR(INDEX('macs_ips'!$A$2:$A$403,AGGREGATE(15,6,(ROW('macs_ips'!$A$2:$A$403)-ROW(INDEX('macs_ips'!$A$2:$A$403,1,1))+1)/('macs_ips'!$E$2:$E$403=$J$1),ROW(A61))),"")</f>
        <v/>
      </c>
      <c r="B63" s="40">
        <f>IFERROR(INDEX('macs_ips'!$B$2:$B$403,AGGREGATE(15,6,(ROW('macs_ips'!$A$2:$A$403)-ROW(INDEX('macs_ips'!$A$2:$A$403,1,1))+1)/('macs_ips'!$E$2:$E$403=$J$1),ROW(A61))),"")</f>
        <v/>
      </c>
      <c r="C63" s="40">
        <f>IFERROR(INDEX('macs_ips'!$C$2:$C$403,AGGREGATE(15,6,(ROW('macs_ips'!$A$2:$A$403)-ROW(INDEX('macs_ips'!$A$2:$A$403,1,1))+1)/('macs_ips'!$E$2:$E$403=$J$1),ROW(A61))),"")</f>
        <v/>
      </c>
      <c r="D63" s="41">
        <f>IFERROR(INDEX('macs_ips'!$D$2:$D$403,AGGREGATE(15,6,(ROW('macs_ips'!$A$2:$A$403)-ROW(INDEX('macs_ips'!$A$2:$A$403,1,1))+1)/('macs_ips'!$E$2:$E$403=$J$1),ROW(A61))),"")</f>
        <v/>
      </c>
      <c r="E63" s="40">
        <f>IFERROR(INDEX('macs_ips'!$E$2:$E$403,AGGREGATE(15,6,(ROW('macs_ips'!$A$2:$A$403)-ROW(INDEX('macs_ips'!$A$2:$A$403,1,1))+1)/('macs_ips'!$E$2:$E$403=$J$1),ROW(A61))),"")</f>
        <v/>
      </c>
      <c r="F63" s="41">
        <f>IFERROR(INDEX('macs_ips'!$F$2:$F$403,AGGREGATE(15,6,(ROW('macs_ips'!$A$2:$A$403)-ROW(INDEX('macs_ips'!$A$2:$A$403,1,1))+1)/('macs_ips'!$E$2:$E$403=$J$1),ROW(A61))),"")</f>
        <v/>
      </c>
      <c r="G63" s="40">
        <f>IFERROR(INDEX('macs_ips'!$G$2:$G$403,AGGREGATE(15,6,(ROW('macs_ips'!$A$2:$A$403)-ROW(INDEX('macs_ips'!$A$2:$A$403,1,1))+1)/('macs_ips'!$E$2:$E$403=$J$1),ROW(A61))),"")</f>
        <v/>
      </c>
    </row>
    <row r="64">
      <c r="A64" s="40">
        <f>IFERROR(INDEX('macs_ips'!$A$2:$A$403,AGGREGATE(15,6,(ROW('macs_ips'!$A$2:$A$403)-ROW(INDEX('macs_ips'!$A$2:$A$403,1,1))+1)/('macs_ips'!$E$2:$E$403=$J$1),ROW(A62))),"")</f>
        <v/>
      </c>
      <c r="B64" s="40">
        <f>IFERROR(INDEX('macs_ips'!$B$2:$B$403,AGGREGATE(15,6,(ROW('macs_ips'!$A$2:$A$403)-ROW(INDEX('macs_ips'!$A$2:$A$403,1,1))+1)/('macs_ips'!$E$2:$E$403=$J$1),ROW(A62))),"")</f>
        <v/>
      </c>
      <c r="C64" s="40">
        <f>IFERROR(INDEX('macs_ips'!$C$2:$C$403,AGGREGATE(15,6,(ROW('macs_ips'!$A$2:$A$403)-ROW(INDEX('macs_ips'!$A$2:$A$403,1,1))+1)/('macs_ips'!$E$2:$E$403=$J$1),ROW(A62))),"")</f>
        <v/>
      </c>
      <c r="D64" s="41">
        <f>IFERROR(INDEX('macs_ips'!$D$2:$D$403,AGGREGATE(15,6,(ROW('macs_ips'!$A$2:$A$403)-ROW(INDEX('macs_ips'!$A$2:$A$403,1,1))+1)/('macs_ips'!$E$2:$E$403=$J$1),ROW(A62))),"")</f>
        <v/>
      </c>
      <c r="E64" s="40">
        <f>IFERROR(INDEX('macs_ips'!$E$2:$E$403,AGGREGATE(15,6,(ROW('macs_ips'!$A$2:$A$403)-ROW(INDEX('macs_ips'!$A$2:$A$403,1,1))+1)/('macs_ips'!$E$2:$E$403=$J$1),ROW(A62))),"")</f>
        <v/>
      </c>
      <c r="F64" s="41">
        <f>IFERROR(INDEX('macs_ips'!$F$2:$F$403,AGGREGATE(15,6,(ROW('macs_ips'!$A$2:$A$403)-ROW(INDEX('macs_ips'!$A$2:$A$403,1,1))+1)/('macs_ips'!$E$2:$E$403=$J$1),ROW(A62))),"")</f>
        <v/>
      </c>
      <c r="G64" s="40">
        <f>IFERROR(INDEX('macs_ips'!$G$2:$G$403,AGGREGATE(15,6,(ROW('macs_ips'!$A$2:$A$403)-ROW(INDEX('macs_ips'!$A$2:$A$403,1,1))+1)/('macs_ips'!$E$2:$E$403=$J$1),ROW(A62))),"")</f>
        <v/>
      </c>
    </row>
    <row r="65">
      <c r="A65" s="40">
        <f>IFERROR(INDEX('macs_ips'!$A$2:$A$403,AGGREGATE(15,6,(ROW('macs_ips'!$A$2:$A$403)-ROW(INDEX('macs_ips'!$A$2:$A$403,1,1))+1)/('macs_ips'!$E$2:$E$403=$J$1),ROW(A63))),"")</f>
        <v/>
      </c>
      <c r="B65" s="40">
        <f>IFERROR(INDEX('macs_ips'!$B$2:$B$403,AGGREGATE(15,6,(ROW('macs_ips'!$A$2:$A$403)-ROW(INDEX('macs_ips'!$A$2:$A$403,1,1))+1)/('macs_ips'!$E$2:$E$403=$J$1),ROW(A63))),"")</f>
        <v/>
      </c>
      <c r="C65" s="40">
        <f>IFERROR(INDEX('macs_ips'!$C$2:$C$403,AGGREGATE(15,6,(ROW('macs_ips'!$A$2:$A$403)-ROW(INDEX('macs_ips'!$A$2:$A$403,1,1))+1)/('macs_ips'!$E$2:$E$403=$J$1),ROW(A63))),"")</f>
        <v/>
      </c>
      <c r="D65" s="41">
        <f>IFERROR(INDEX('macs_ips'!$D$2:$D$403,AGGREGATE(15,6,(ROW('macs_ips'!$A$2:$A$403)-ROW(INDEX('macs_ips'!$A$2:$A$403,1,1))+1)/('macs_ips'!$E$2:$E$403=$J$1),ROW(A63))),"")</f>
        <v/>
      </c>
      <c r="E65" s="40">
        <f>IFERROR(INDEX('macs_ips'!$E$2:$E$403,AGGREGATE(15,6,(ROW('macs_ips'!$A$2:$A$403)-ROW(INDEX('macs_ips'!$A$2:$A$403,1,1))+1)/('macs_ips'!$E$2:$E$403=$J$1),ROW(A63))),"")</f>
        <v/>
      </c>
      <c r="F65" s="41">
        <f>IFERROR(INDEX('macs_ips'!$F$2:$F$403,AGGREGATE(15,6,(ROW('macs_ips'!$A$2:$A$403)-ROW(INDEX('macs_ips'!$A$2:$A$403,1,1))+1)/('macs_ips'!$E$2:$E$403=$J$1),ROW(A63))),"")</f>
        <v/>
      </c>
      <c r="G65" s="40">
        <f>IFERROR(INDEX('macs_ips'!$G$2:$G$403,AGGREGATE(15,6,(ROW('macs_ips'!$A$2:$A$403)-ROW(INDEX('macs_ips'!$A$2:$A$403,1,1))+1)/('macs_ips'!$E$2:$E$403=$J$1),ROW(A63))),"")</f>
        <v/>
      </c>
    </row>
    <row r="66">
      <c r="A66" s="40">
        <f>IFERROR(INDEX('macs_ips'!$A$2:$A$403,AGGREGATE(15,6,(ROW('macs_ips'!$A$2:$A$403)-ROW(INDEX('macs_ips'!$A$2:$A$403,1,1))+1)/('macs_ips'!$E$2:$E$403=$J$1),ROW(A64))),"")</f>
        <v/>
      </c>
      <c r="B66" s="40">
        <f>IFERROR(INDEX('macs_ips'!$B$2:$B$403,AGGREGATE(15,6,(ROW('macs_ips'!$A$2:$A$403)-ROW(INDEX('macs_ips'!$A$2:$A$403,1,1))+1)/('macs_ips'!$E$2:$E$403=$J$1),ROW(A64))),"")</f>
        <v/>
      </c>
      <c r="C66" s="40">
        <f>IFERROR(INDEX('macs_ips'!$C$2:$C$403,AGGREGATE(15,6,(ROW('macs_ips'!$A$2:$A$403)-ROW(INDEX('macs_ips'!$A$2:$A$403,1,1))+1)/('macs_ips'!$E$2:$E$403=$J$1),ROW(A64))),"")</f>
        <v/>
      </c>
      <c r="D66" s="41">
        <f>IFERROR(INDEX('macs_ips'!$D$2:$D$403,AGGREGATE(15,6,(ROW('macs_ips'!$A$2:$A$403)-ROW(INDEX('macs_ips'!$A$2:$A$403,1,1))+1)/('macs_ips'!$E$2:$E$403=$J$1),ROW(A64))),"")</f>
        <v/>
      </c>
      <c r="E66" s="40">
        <f>IFERROR(INDEX('macs_ips'!$E$2:$E$403,AGGREGATE(15,6,(ROW('macs_ips'!$A$2:$A$403)-ROW(INDEX('macs_ips'!$A$2:$A$403,1,1))+1)/('macs_ips'!$E$2:$E$403=$J$1),ROW(A64))),"")</f>
        <v/>
      </c>
      <c r="F66" s="41">
        <f>IFERROR(INDEX('macs_ips'!$F$2:$F$403,AGGREGATE(15,6,(ROW('macs_ips'!$A$2:$A$403)-ROW(INDEX('macs_ips'!$A$2:$A$403,1,1))+1)/('macs_ips'!$E$2:$E$403=$J$1),ROW(A64))),"")</f>
        <v/>
      </c>
      <c r="G66" s="40">
        <f>IFERROR(INDEX('macs_ips'!$G$2:$G$403,AGGREGATE(15,6,(ROW('macs_ips'!$A$2:$A$403)-ROW(INDEX('macs_ips'!$A$2:$A$403,1,1))+1)/('macs_ips'!$E$2:$E$403=$J$1),ROW(A64))),"")</f>
        <v/>
      </c>
    </row>
    <row r="67">
      <c r="A67" s="40">
        <f>IFERROR(INDEX('macs_ips'!$A$2:$A$403,AGGREGATE(15,6,(ROW('macs_ips'!$A$2:$A$403)-ROW(INDEX('macs_ips'!$A$2:$A$403,1,1))+1)/('macs_ips'!$E$2:$E$403=$J$1),ROW(A65))),"")</f>
        <v/>
      </c>
      <c r="B67" s="40">
        <f>IFERROR(INDEX('macs_ips'!$B$2:$B$403,AGGREGATE(15,6,(ROW('macs_ips'!$A$2:$A$403)-ROW(INDEX('macs_ips'!$A$2:$A$403,1,1))+1)/('macs_ips'!$E$2:$E$403=$J$1),ROW(A65))),"")</f>
        <v/>
      </c>
      <c r="C67" s="40">
        <f>IFERROR(INDEX('macs_ips'!$C$2:$C$403,AGGREGATE(15,6,(ROW('macs_ips'!$A$2:$A$403)-ROW(INDEX('macs_ips'!$A$2:$A$403,1,1))+1)/('macs_ips'!$E$2:$E$403=$J$1),ROW(A65))),"")</f>
        <v/>
      </c>
      <c r="D67" s="41">
        <f>IFERROR(INDEX('macs_ips'!$D$2:$D$403,AGGREGATE(15,6,(ROW('macs_ips'!$A$2:$A$403)-ROW(INDEX('macs_ips'!$A$2:$A$403,1,1))+1)/('macs_ips'!$E$2:$E$403=$J$1),ROW(A65))),"")</f>
        <v/>
      </c>
      <c r="E67" s="40">
        <f>IFERROR(INDEX('macs_ips'!$E$2:$E$403,AGGREGATE(15,6,(ROW('macs_ips'!$A$2:$A$403)-ROW(INDEX('macs_ips'!$A$2:$A$403,1,1))+1)/('macs_ips'!$E$2:$E$403=$J$1),ROW(A65))),"")</f>
        <v/>
      </c>
      <c r="F67" s="41">
        <f>IFERROR(INDEX('macs_ips'!$F$2:$F$403,AGGREGATE(15,6,(ROW('macs_ips'!$A$2:$A$403)-ROW(INDEX('macs_ips'!$A$2:$A$403,1,1))+1)/('macs_ips'!$E$2:$E$403=$J$1),ROW(A65))),"")</f>
        <v/>
      </c>
      <c r="G67" s="40">
        <f>IFERROR(INDEX('macs_ips'!$G$2:$G$403,AGGREGATE(15,6,(ROW('macs_ips'!$A$2:$A$403)-ROW(INDEX('macs_ips'!$A$2:$A$403,1,1))+1)/('macs_ips'!$E$2:$E$403=$J$1),ROW(A65))),"")</f>
        <v/>
      </c>
    </row>
    <row r="68">
      <c r="A68" s="40">
        <f>IFERROR(INDEX('macs_ips'!$A$2:$A$403,AGGREGATE(15,6,(ROW('macs_ips'!$A$2:$A$403)-ROW(INDEX('macs_ips'!$A$2:$A$403,1,1))+1)/('macs_ips'!$E$2:$E$403=$J$1),ROW(A66))),"")</f>
        <v/>
      </c>
      <c r="B68" s="40">
        <f>IFERROR(INDEX('macs_ips'!$B$2:$B$403,AGGREGATE(15,6,(ROW('macs_ips'!$A$2:$A$403)-ROW(INDEX('macs_ips'!$A$2:$A$403,1,1))+1)/('macs_ips'!$E$2:$E$403=$J$1),ROW(A66))),"")</f>
        <v/>
      </c>
      <c r="C68" s="40">
        <f>IFERROR(INDEX('macs_ips'!$C$2:$C$403,AGGREGATE(15,6,(ROW('macs_ips'!$A$2:$A$403)-ROW(INDEX('macs_ips'!$A$2:$A$403,1,1))+1)/('macs_ips'!$E$2:$E$403=$J$1),ROW(A66))),"")</f>
        <v/>
      </c>
      <c r="D68" s="41">
        <f>IFERROR(INDEX('macs_ips'!$D$2:$D$403,AGGREGATE(15,6,(ROW('macs_ips'!$A$2:$A$403)-ROW(INDEX('macs_ips'!$A$2:$A$403,1,1))+1)/('macs_ips'!$E$2:$E$403=$J$1),ROW(A66))),"")</f>
        <v/>
      </c>
      <c r="E68" s="40">
        <f>IFERROR(INDEX('macs_ips'!$E$2:$E$403,AGGREGATE(15,6,(ROW('macs_ips'!$A$2:$A$403)-ROW(INDEX('macs_ips'!$A$2:$A$403,1,1))+1)/('macs_ips'!$E$2:$E$403=$J$1),ROW(A66))),"")</f>
        <v/>
      </c>
      <c r="F68" s="41">
        <f>IFERROR(INDEX('macs_ips'!$F$2:$F$403,AGGREGATE(15,6,(ROW('macs_ips'!$A$2:$A$403)-ROW(INDEX('macs_ips'!$A$2:$A$403,1,1))+1)/('macs_ips'!$E$2:$E$403=$J$1),ROW(A66))),"")</f>
        <v/>
      </c>
      <c r="G68" s="40">
        <f>IFERROR(INDEX('macs_ips'!$G$2:$G$403,AGGREGATE(15,6,(ROW('macs_ips'!$A$2:$A$403)-ROW(INDEX('macs_ips'!$A$2:$A$403,1,1))+1)/('macs_ips'!$E$2:$E$403=$J$1),ROW(A66))),"")</f>
        <v/>
      </c>
    </row>
    <row r="69">
      <c r="A69" s="40">
        <f>IFERROR(INDEX('macs_ips'!$A$2:$A$403,AGGREGATE(15,6,(ROW('macs_ips'!$A$2:$A$403)-ROW(INDEX('macs_ips'!$A$2:$A$403,1,1))+1)/('macs_ips'!$E$2:$E$403=$J$1),ROW(A67))),"")</f>
        <v/>
      </c>
      <c r="B69" s="40">
        <f>IFERROR(INDEX('macs_ips'!$B$2:$B$403,AGGREGATE(15,6,(ROW('macs_ips'!$A$2:$A$403)-ROW(INDEX('macs_ips'!$A$2:$A$403,1,1))+1)/('macs_ips'!$E$2:$E$403=$J$1),ROW(A67))),"")</f>
        <v/>
      </c>
      <c r="C69" s="40">
        <f>IFERROR(INDEX('macs_ips'!$C$2:$C$403,AGGREGATE(15,6,(ROW('macs_ips'!$A$2:$A$403)-ROW(INDEX('macs_ips'!$A$2:$A$403,1,1))+1)/('macs_ips'!$E$2:$E$403=$J$1),ROW(A67))),"")</f>
        <v/>
      </c>
      <c r="D69" s="41">
        <f>IFERROR(INDEX('macs_ips'!$D$2:$D$403,AGGREGATE(15,6,(ROW('macs_ips'!$A$2:$A$403)-ROW(INDEX('macs_ips'!$A$2:$A$403,1,1))+1)/('macs_ips'!$E$2:$E$403=$J$1),ROW(A67))),"")</f>
        <v/>
      </c>
      <c r="E69" s="40">
        <f>IFERROR(INDEX('macs_ips'!$E$2:$E$403,AGGREGATE(15,6,(ROW('macs_ips'!$A$2:$A$403)-ROW(INDEX('macs_ips'!$A$2:$A$403,1,1))+1)/('macs_ips'!$E$2:$E$403=$J$1),ROW(A67))),"")</f>
        <v/>
      </c>
      <c r="F69" s="41">
        <f>IFERROR(INDEX('macs_ips'!$F$2:$F$403,AGGREGATE(15,6,(ROW('macs_ips'!$A$2:$A$403)-ROW(INDEX('macs_ips'!$A$2:$A$403,1,1))+1)/('macs_ips'!$E$2:$E$403=$J$1),ROW(A67))),"")</f>
        <v/>
      </c>
      <c r="G69" s="40">
        <f>IFERROR(INDEX('macs_ips'!$G$2:$G$403,AGGREGATE(15,6,(ROW('macs_ips'!$A$2:$A$403)-ROW(INDEX('macs_ips'!$A$2:$A$403,1,1))+1)/('macs_ips'!$E$2:$E$403=$J$1),ROW(A67))),"")</f>
        <v/>
      </c>
    </row>
    <row r="70">
      <c r="A70" s="40">
        <f>IFERROR(INDEX('macs_ips'!$A$2:$A$403,AGGREGATE(15,6,(ROW('macs_ips'!$A$2:$A$403)-ROW(INDEX('macs_ips'!$A$2:$A$403,1,1))+1)/('macs_ips'!$E$2:$E$403=$J$1),ROW(A68))),"")</f>
        <v/>
      </c>
      <c r="B70" s="40">
        <f>IFERROR(INDEX('macs_ips'!$B$2:$B$403,AGGREGATE(15,6,(ROW('macs_ips'!$A$2:$A$403)-ROW(INDEX('macs_ips'!$A$2:$A$403,1,1))+1)/('macs_ips'!$E$2:$E$403=$J$1),ROW(A68))),"")</f>
        <v/>
      </c>
      <c r="C70" s="40">
        <f>IFERROR(INDEX('macs_ips'!$C$2:$C$403,AGGREGATE(15,6,(ROW('macs_ips'!$A$2:$A$403)-ROW(INDEX('macs_ips'!$A$2:$A$403,1,1))+1)/('macs_ips'!$E$2:$E$403=$J$1),ROW(A68))),"")</f>
        <v/>
      </c>
      <c r="D70" s="41">
        <f>IFERROR(INDEX('macs_ips'!$D$2:$D$403,AGGREGATE(15,6,(ROW('macs_ips'!$A$2:$A$403)-ROW(INDEX('macs_ips'!$A$2:$A$403,1,1))+1)/('macs_ips'!$E$2:$E$403=$J$1),ROW(A68))),"")</f>
        <v/>
      </c>
      <c r="E70" s="40">
        <f>IFERROR(INDEX('macs_ips'!$E$2:$E$403,AGGREGATE(15,6,(ROW('macs_ips'!$A$2:$A$403)-ROW(INDEX('macs_ips'!$A$2:$A$403,1,1))+1)/('macs_ips'!$E$2:$E$403=$J$1),ROW(A68))),"")</f>
        <v/>
      </c>
      <c r="F70" s="41">
        <f>IFERROR(INDEX('macs_ips'!$F$2:$F$403,AGGREGATE(15,6,(ROW('macs_ips'!$A$2:$A$403)-ROW(INDEX('macs_ips'!$A$2:$A$403,1,1))+1)/('macs_ips'!$E$2:$E$403=$J$1),ROW(A68))),"")</f>
        <v/>
      </c>
      <c r="G70" s="40">
        <f>IFERROR(INDEX('macs_ips'!$G$2:$G$403,AGGREGATE(15,6,(ROW('macs_ips'!$A$2:$A$403)-ROW(INDEX('macs_ips'!$A$2:$A$403,1,1))+1)/('macs_ips'!$E$2:$E$403=$J$1),ROW(A68))),"")</f>
        <v/>
      </c>
    </row>
    <row r="71">
      <c r="A71" s="40">
        <f>IFERROR(INDEX('macs_ips'!$A$2:$A$403,AGGREGATE(15,6,(ROW('macs_ips'!$A$2:$A$403)-ROW(INDEX('macs_ips'!$A$2:$A$403,1,1))+1)/('macs_ips'!$E$2:$E$403=$J$1),ROW(A69))),"")</f>
        <v/>
      </c>
      <c r="B71" s="40">
        <f>IFERROR(INDEX('macs_ips'!$B$2:$B$403,AGGREGATE(15,6,(ROW('macs_ips'!$A$2:$A$403)-ROW(INDEX('macs_ips'!$A$2:$A$403,1,1))+1)/('macs_ips'!$E$2:$E$403=$J$1),ROW(A69))),"")</f>
        <v/>
      </c>
      <c r="C71" s="40">
        <f>IFERROR(INDEX('macs_ips'!$C$2:$C$403,AGGREGATE(15,6,(ROW('macs_ips'!$A$2:$A$403)-ROW(INDEX('macs_ips'!$A$2:$A$403,1,1))+1)/('macs_ips'!$E$2:$E$403=$J$1),ROW(A69))),"")</f>
        <v/>
      </c>
      <c r="D71" s="41">
        <f>IFERROR(INDEX('macs_ips'!$D$2:$D$403,AGGREGATE(15,6,(ROW('macs_ips'!$A$2:$A$403)-ROW(INDEX('macs_ips'!$A$2:$A$403,1,1))+1)/('macs_ips'!$E$2:$E$403=$J$1),ROW(A69))),"")</f>
        <v/>
      </c>
      <c r="E71" s="40">
        <f>IFERROR(INDEX('macs_ips'!$E$2:$E$403,AGGREGATE(15,6,(ROW('macs_ips'!$A$2:$A$403)-ROW(INDEX('macs_ips'!$A$2:$A$403,1,1))+1)/('macs_ips'!$E$2:$E$403=$J$1),ROW(A69))),"")</f>
        <v/>
      </c>
      <c r="F71" s="41">
        <f>IFERROR(INDEX('macs_ips'!$F$2:$F$403,AGGREGATE(15,6,(ROW('macs_ips'!$A$2:$A$403)-ROW(INDEX('macs_ips'!$A$2:$A$403,1,1))+1)/('macs_ips'!$E$2:$E$403=$J$1),ROW(A69))),"")</f>
        <v/>
      </c>
      <c r="G71" s="40">
        <f>IFERROR(INDEX('macs_ips'!$G$2:$G$403,AGGREGATE(15,6,(ROW('macs_ips'!$A$2:$A$403)-ROW(INDEX('macs_ips'!$A$2:$A$403,1,1))+1)/('macs_ips'!$E$2:$E$403=$J$1),ROW(A69))),"")</f>
        <v/>
      </c>
    </row>
    <row r="72">
      <c r="A72" s="40">
        <f>IFERROR(INDEX('macs_ips'!$A$2:$A$403,AGGREGATE(15,6,(ROW('macs_ips'!$A$2:$A$403)-ROW(INDEX('macs_ips'!$A$2:$A$403,1,1))+1)/('macs_ips'!$E$2:$E$403=$J$1),ROW(A70))),"")</f>
        <v/>
      </c>
      <c r="B72" s="40">
        <f>IFERROR(INDEX('macs_ips'!$B$2:$B$403,AGGREGATE(15,6,(ROW('macs_ips'!$A$2:$A$403)-ROW(INDEX('macs_ips'!$A$2:$A$403,1,1))+1)/('macs_ips'!$E$2:$E$403=$J$1),ROW(A70))),"")</f>
        <v/>
      </c>
      <c r="C72" s="40">
        <f>IFERROR(INDEX('macs_ips'!$C$2:$C$403,AGGREGATE(15,6,(ROW('macs_ips'!$A$2:$A$403)-ROW(INDEX('macs_ips'!$A$2:$A$403,1,1))+1)/('macs_ips'!$E$2:$E$403=$J$1),ROW(A70))),"")</f>
        <v/>
      </c>
      <c r="D72" s="41">
        <f>IFERROR(INDEX('macs_ips'!$D$2:$D$403,AGGREGATE(15,6,(ROW('macs_ips'!$A$2:$A$403)-ROW(INDEX('macs_ips'!$A$2:$A$403,1,1))+1)/('macs_ips'!$E$2:$E$403=$J$1),ROW(A70))),"")</f>
        <v/>
      </c>
      <c r="E72" s="40">
        <f>IFERROR(INDEX('macs_ips'!$E$2:$E$403,AGGREGATE(15,6,(ROW('macs_ips'!$A$2:$A$403)-ROW(INDEX('macs_ips'!$A$2:$A$403,1,1))+1)/('macs_ips'!$E$2:$E$403=$J$1),ROW(A70))),"")</f>
        <v/>
      </c>
      <c r="F72" s="41">
        <f>IFERROR(INDEX('macs_ips'!$F$2:$F$403,AGGREGATE(15,6,(ROW('macs_ips'!$A$2:$A$403)-ROW(INDEX('macs_ips'!$A$2:$A$403,1,1))+1)/('macs_ips'!$E$2:$E$403=$J$1),ROW(A70))),"")</f>
        <v/>
      </c>
      <c r="G72" s="40">
        <f>IFERROR(INDEX('macs_ips'!$G$2:$G$403,AGGREGATE(15,6,(ROW('macs_ips'!$A$2:$A$403)-ROW(INDEX('macs_ips'!$A$2:$A$403,1,1))+1)/('macs_ips'!$E$2:$E$403=$J$1),ROW(A70))),"")</f>
        <v/>
      </c>
    </row>
    <row r="73">
      <c r="A73" s="40">
        <f>IFERROR(INDEX('macs_ips'!$A$2:$A$403,AGGREGATE(15,6,(ROW('macs_ips'!$A$2:$A$403)-ROW(INDEX('macs_ips'!$A$2:$A$403,1,1))+1)/('macs_ips'!$E$2:$E$403=$J$1),ROW(A71))),"")</f>
        <v/>
      </c>
      <c r="B73" s="40">
        <f>IFERROR(INDEX('macs_ips'!$B$2:$B$403,AGGREGATE(15,6,(ROW('macs_ips'!$A$2:$A$403)-ROW(INDEX('macs_ips'!$A$2:$A$403,1,1))+1)/('macs_ips'!$E$2:$E$403=$J$1),ROW(A71))),"")</f>
        <v/>
      </c>
      <c r="C73" s="40">
        <f>IFERROR(INDEX('macs_ips'!$C$2:$C$403,AGGREGATE(15,6,(ROW('macs_ips'!$A$2:$A$403)-ROW(INDEX('macs_ips'!$A$2:$A$403,1,1))+1)/('macs_ips'!$E$2:$E$403=$J$1),ROW(A71))),"")</f>
        <v/>
      </c>
      <c r="D73" s="41">
        <f>IFERROR(INDEX('macs_ips'!$D$2:$D$403,AGGREGATE(15,6,(ROW('macs_ips'!$A$2:$A$403)-ROW(INDEX('macs_ips'!$A$2:$A$403,1,1))+1)/('macs_ips'!$E$2:$E$403=$J$1),ROW(A71))),"")</f>
        <v/>
      </c>
      <c r="E73" s="40">
        <f>IFERROR(INDEX('macs_ips'!$E$2:$E$403,AGGREGATE(15,6,(ROW('macs_ips'!$A$2:$A$403)-ROW(INDEX('macs_ips'!$A$2:$A$403,1,1))+1)/('macs_ips'!$E$2:$E$403=$J$1),ROW(A71))),"")</f>
        <v/>
      </c>
      <c r="F73" s="41">
        <f>IFERROR(INDEX('macs_ips'!$F$2:$F$403,AGGREGATE(15,6,(ROW('macs_ips'!$A$2:$A$403)-ROW(INDEX('macs_ips'!$A$2:$A$403,1,1))+1)/('macs_ips'!$E$2:$E$403=$J$1),ROW(A71))),"")</f>
        <v/>
      </c>
      <c r="G73" s="40">
        <f>IFERROR(INDEX('macs_ips'!$G$2:$G$403,AGGREGATE(15,6,(ROW('macs_ips'!$A$2:$A$403)-ROW(INDEX('macs_ips'!$A$2:$A$403,1,1))+1)/('macs_ips'!$E$2:$E$403=$J$1),ROW(A71))),"")</f>
        <v/>
      </c>
    </row>
    <row r="74">
      <c r="A74" s="40">
        <f>IFERROR(INDEX('macs_ips'!$A$2:$A$403,AGGREGATE(15,6,(ROW('macs_ips'!$A$2:$A$403)-ROW(INDEX('macs_ips'!$A$2:$A$403,1,1))+1)/('macs_ips'!$E$2:$E$403=$J$1),ROW(A72))),"")</f>
        <v/>
      </c>
      <c r="B74" s="40">
        <f>IFERROR(INDEX('macs_ips'!$B$2:$B$403,AGGREGATE(15,6,(ROW('macs_ips'!$A$2:$A$403)-ROW(INDEX('macs_ips'!$A$2:$A$403,1,1))+1)/('macs_ips'!$E$2:$E$403=$J$1),ROW(A72))),"")</f>
        <v/>
      </c>
      <c r="C74" s="40">
        <f>IFERROR(INDEX('macs_ips'!$C$2:$C$403,AGGREGATE(15,6,(ROW('macs_ips'!$A$2:$A$403)-ROW(INDEX('macs_ips'!$A$2:$A$403,1,1))+1)/('macs_ips'!$E$2:$E$403=$J$1),ROW(A72))),"")</f>
        <v/>
      </c>
      <c r="D74" s="41">
        <f>IFERROR(INDEX('macs_ips'!$D$2:$D$403,AGGREGATE(15,6,(ROW('macs_ips'!$A$2:$A$403)-ROW(INDEX('macs_ips'!$A$2:$A$403,1,1))+1)/('macs_ips'!$E$2:$E$403=$J$1),ROW(A72))),"")</f>
        <v/>
      </c>
      <c r="E74" s="40">
        <f>IFERROR(INDEX('macs_ips'!$E$2:$E$403,AGGREGATE(15,6,(ROW('macs_ips'!$A$2:$A$403)-ROW(INDEX('macs_ips'!$A$2:$A$403,1,1))+1)/('macs_ips'!$E$2:$E$403=$J$1),ROW(A72))),"")</f>
        <v/>
      </c>
      <c r="F74" s="41">
        <f>IFERROR(INDEX('macs_ips'!$F$2:$F$403,AGGREGATE(15,6,(ROW('macs_ips'!$A$2:$A$403)-ROW(INDEX('macs_ips'!$A$2:$A$403,1,1))+1)/('macs_ips'!$E$2:$E$403=$J$1),ROW(A72))),"")</f>
        <v/>
      </c>
      <c r="G74" s="40">
        <f>IFERROR(INDEX('macs_ips'!$G$2:$G$403,AGGREGATE(15,6,(ROW('macs_ips'!$A$2:$A$403)-ROW(INDEX('macs_ips'!$A$2:$A$403,1,1))+1)/('macs_ips'!$E$2:$E$403=$J$1),ROW(A72))),"")</f>
        <v/>
      </c>
    </row>
    <row r="75">
      <c r="A75" s="40">
        <f>IFERROR(INDEX('macs_ips'!$A$2:$A$403,AGGREGATE(15,6,(ROW('macs_ips'!$A$2:$A$403)-ROW(INDEX('macs_ips'!$A$2:$A$403,1,1))+1)/('macs_ips'!$E$2:$E$403=$J$1),ROW(A73))),"")</f>
        <v/>
      </c>
      <c r="B75" s="40">
        <f>IFERROR(INDEX('macs_ips'!$B$2:$B$403,AGGREGATE(15,6,(ROW('macs_ips'!$A$2:$A$403)-ROW(INDEX('macs_ips'!$A$2:$A$403,1,1))+1)/('macs_ips'!$E$2:$E$403=$J$1),ROW(A73))),"")</f>
        <v/>
      </c>
      <c r="C75" s="40">
        <f>IFERROR(INDEX('macs_ips'!$C$2:$C$403,AGGREGATE(15,6,(ROW('macs_ips'!$A$2:$A$403)-ROW(INDEX('macs_ips'!$A$2:$A$403,1,1))+1)/('macs_ips'!$E$2:$E$403=$J$1),ROW(A73))),"")</f>
        <v/>
      </c>
      <c r="D75" s="41">
        <f>IFERROR(INDEX('macs_ips'!$D$2:$D$403,AGGREGATE(15,6,(ROW('macs_ips'!$A$2:$A$403)-ROW(INDEX('macs_ips'!$A$2:$A$403,1,1))+1)/('macs_ips'!$E$2:$E$403=$J$1),ROW(A73))),"")</f>
        <v/>
      </c>
      <c r="E75" s="40">
        <f>IFERROR(INDEX('macs_ips'!$E$2:$E$403,AGGREGATE(15,6,(ROW('macs_ips'!$A$2:$A$403)-ROW(INDEX('macs_ips'!$A$2:$A$403,1,1))+1)/('macs_ips'!$E$2:$E$403=$J$1),ROW(A73))),"")</f>
        <v/>
      </c>
      <c r="F75" s="41">
        <f>IFERROR(INDEX('macs_ips'!$F$2:$F$403,AGGREGATE(15,6,(ROW('macs_ips'!$A$2:$A$403)-ROW(INDEX('macs_ips'!$A$2:$A$403,1,1))+1)/('macs_ips'!$E$2:$E$403=$J$1),ROW(A73))),"")</f>
        <v/>
      </c>
      <c r="G75" s="40">
        <f>IFERROR(INDEX('macs_ips'!$G$2:$G$403,AGGREGATE(15,6,(ROW('macs_ips'!$A$2:$A$403)-ROW(INDEX('macs_ips'!$A$2:$A$403,1,1))+1)/('macs_ips'!$E$2:$E$403=$J$1),ROW(A73))),"")</f>
        <v/>
      </c>
    </row>
    <row r="76">
      <c r="A76" s="40">
        <f>IFERROR(INDEX('macs_ips'!$A$2:$A$403,AGGREGATE(15,6,(ROW('macs_ips'!$A$2:$A$403)-ROW(INDEX('macs_ips'!$A$2:$A$403,1,1))+1)/('macs_ips'!$E$2:$E$403=$J$1),ROW(A74))),"")</f>
        <v/>
      </c>
      <c r="B76" s="40">
        <f>IFERROR(INDEX('macs_ips'!$B$2:$B$403,AGGREGATE(15,6,(ROW('macs_ips'!$A$2:$A$403)-ROW(INDEX('macs_ips'!$A$2:$A$403,1,1))+1)/('macs_ips'!$E$2:$E$403=$J$1),ROW(A74))),"")</f>
        <v/>
      </c>
      <c r="C76" s="40">
        <f>IFERROR(INDEX('macs_ips'!$C$2:$C$403,AGGREGATE(15,6,(ROW('macs_ips'!$A$2:$A$403)-ROW(INDEX('macs_ips'!$A$2:$A$403,1,1))+1)/('macs_ips'!$E$2:$E$403=$J$1),ROW(A74))),"")</f>
        <v/>
      </c>
      <c r="D76" s="41">
        <f>IFERROR(INDEX('macs_ips'!$D$2:$D$403,AGGREGATE(15,6,(ROW('macs_ips'!$A$2:$A$403)-ROW(INDEX('macs_ips'!$A$2:$A$403,1,1))+1)/('macs_ips'!$E$2:$E$403=$J$1),ROW(A74))),"")</f>
        <v/>
      </c>
      <c r="E76" s="40">
        <f>IFERROR(INDEX('macs_ips'!$E$2:$E$403,AGGREGATE(15,6,(ROW('macs_ips'!$A$2:$A$403)-ROW(INDEX('macs_ips'!$A$2:$A$403,1,1))+1)/('macs_ips'!$E$2:$E$403=$J$1),ROW(A74))),"")</f>
        <v/>
      </c>
      <c r="F76" s="41">
        <f>IFERROR(INDEX('macs_ips'!$F$2:$F$403,AGGREGATE(15,6,(ROW('macs_ips'!$A$2:$A$403)-ROW(INDEX('macs_ips'!$A$2:$A$403,1,1))+1)/('macs_ips'!$E$2:$E$403=$J$1),ROW(A74))),"")</f>
        <v/>
      </c>
      <c r="G76" s="40">
        <f>IFERROR(INDEX('macs_ips'!$G$2:$G$403,AGGREGATE(15,6,(ROW('macs_ips'!$A$2:$A$403)-ROW(INDEX('macs_ips'!$A$2:$A$403,1,1))+1)/('macs_ips'!$E$2:$E$403=$J$1),ROW(A74))),"")</f>
        <v/>
      </c>
    </row>
    <row r="77">
      <c r="A77" s="40">
        <f>IFERROR(INDEX('macs_ips'!$A$2:$A$403,AGGREGATE(15,6,(ROW('macs_ips'!$A$2:$A$403)-ROW(INDEX('macs_ips'!$A$2:$A$403,1,1))+1)/('macs_ips'!$E$2:$E$403=$J$1),ROW(A75))),"")</f>
        <v/>
      </c>
      <c r="B77" s="40">
        <f>IFERROR(INDEX('macs_ips'!$B$2:$B$403,AGGREGATE(15,6,(ROW('macs_ips'!$A$2:$A$403)-ROW(INDEX('macs_ips'!$A$2:$A$403,1,1))+1)/('macs_ips'!$E$2:$E$403=$J$1),ROW(A75))),"")</f>
        <v/>
      </c>
      <c r="C77" s="40">
        <f>IFERROR(INDEX('macs_ips'!$C$2:$C$403,AGGREGATE(15,6,(ROW('macs_ips'!$A$2:$A$403)-ROW(INDEX('macs_ips'!$A$2:$A$403,1,1))+1)/('macs_ips'!$E$2:$E$403=$J$1),ROW(A75))),"")</f>
        <v/>
      </c>
      <c r="D77" s="41">
        <f>IFERROR(INDEX('macs_ips'!$D$2:$D$403,AGGREGATE(15,6,(ROW('macs_ips'!$A$2:$A$403)-ROW(INDEX('macs_ips'!$A$2:$A$403,1,1))+1)/('macs_ips'!$E$2:$E$403=$J$1),ROW(A75))),"")</f>
        <v/>
      </c>
      <c r="E77" s="40">
        <f>IFERROR(INDEX('macs_ips'!$E$2:$E$403,AGGREGATE(15,6,(ROW('macs_ips'!$A$2:$A$403)-ROW(INDEX('macs_ips'!$A$2:$A$403,1,1))+1)/('macs_ips'!$E$2:$E$403=$J$1),ROW(A75))),"")</f>
        <v/>
      </c>
      <c r="F77" s="41">
        <f>IFERROR(INDEX('macs_ips'!$F$2:$F$403,AGGREGATE(15,6,(ROW('macs_ips'!$A$2:$A$403)-ROW(INDEX('macs_ips'!$A$2:$A$403,1,1))+1)/('macs_ips'!$E$2:$E$403=$J$1),ROW(A75))),"")</f>
        <v/>
      </c>
      <c r="G77" s="40">
        <f>IFERROR(INDEX('macs_ips'!$G$2:$G$403,AGGREGATE(15,6,(ROW('macs_ips'!$A$2:$A$403)-ROW(INDEX('macs_ips'!$A$2:$A$403,1,1))+1)/('macs_ips'!$E$2:$E$403=$J$1),ROW(A75))),"")</f>
        <v/>
      </c>
    </row>
    <row r="78">
      <c r="A78" s="40">
        <f>IFERROR(INDEX('macs_ips'!$A$2:$A$403,AGGREGATE(15,6,(ROW('macs_ips'!$A$2:$A$403)-ROW(INDEX('macs_ips'!$A$2:$A$403,1,1))+1)/('macs_ips'!$E$2:$E$403=$J$1),ROW(A76))),"")</f>
        <v/>
      </c>
      <c r="B78" s="40">
        <f>IFERROR(INDEX('macs_ips'!$B$2:$B$403,AGGREGATE(15,6,(ROW('macs_ips'!$A$2:$A$403)-ROW(INDEX('macs_ips'!$A$2:$A$403,1,1))+1)/('macs_ips'!$E$2:$E$403=$J$1),ROW(A76))),"")</f>
        <v/>
      </c>
      <c r="C78" s="40">
        <f>IFERROR(INDEX('macs_ips'!$C$2:$C$403,AGGREGATE(15,6,(ROW('macs_ips'!$A$2:$A$403)-ROW(INDEX('macs_ips'!$A$2:$A$403,1,1))+1)/('macs_ips'!$E$2:$E$403=$J$1),ROW(A76))),"")</f>
        <v/>
      </c>
      <c r="D78" s="41">
        <f>IFERROR(INDEX('macs_ips'!$D$2:$D$403,AGGREGATE(15,6,(ROW('macs_ips'!$A$2:$A$403)-ROW(INDEX('macs_ips'!$A$2:$A$403,1,1))+1)/('macs_ips'!$E$2:$E$403=$J$1),ROW(A76))),"")</f>
        <v/>
      </c>
      <c r="E78" s="40">
        <f>IFERROR(INDEX('macs_ips'!$E$2:$E$403,AGGREGATE(15,6,(ROW('macs_ips'!$A$2:$A$403)-ROW(INDEX('macs_ips'!$A$2:$A$403,1,1))+1)/('macs_ips'!$E$2:$E$403=$J$1),ROW(A76))),"")</f>
        <v/>
      </c>
      <c r="F78" s="41">
        <f>IFERROR(INDEX('macs_ips'!$F$2:$F$403,AGGREGATE(15,6,(ROW('macs_ips'!$A$2:$A$403)-ROW(INDEX('macs_ips'!$A$2:$A$403,1,1))+1)/('macs_ips'!$E$2:$E$403=$J$1),ROW(A76))),"")</f>
        <v/>
      </c>
      <c r="G78" s="40">
        <f>IFERROR(INDEX('macs_ips'!$G$2:$G$403,AGGREGATE(15,6,(ROW('macs_ips'!$A$2:$A$403)-ROW(INDEX('macs_ips'!$A$2:$A$403,1,1))+1)/('macs_ips'!$E$2:$E$403=$J$1),ROW(A76))),"")</f>
        <v/>
      </c>
    </row>
    <row r="79">
      <c r="A79" s="40">
        <f>IFERROR(INDEX('macs_ips'!$A$2:$A$403,AGGREGATE(15,6,(ROW('macs_ips'!$A$2:$A$403)-ROW(INDEX('macs_ips'!$A$2:$A$403,1,1))+1)/('macs_ips'!$E$2:$E$403=$J$1),ROW(A77))),"")</f>
        <v/>
      </c>
      <c r="B79" s="40">
        <f>IFERROR(INDEX('macs_ips'!$B$2:$B$403,AGGREGATE(15,6,(ROW('macs_ips'!$A$2:$A$403)-ROW(INDEX('macs_ips'!$A$2:$A$403,1,1))+1)/('macs_ips'!$E$2:$E$403=$J$1),ROW(A77))),"")</f>
        <v/>
      </c>
      <c r="C79" s="40">
        <f>IFERROR(INDEX('macs_ips'!$C$2:$C$403,AGGREGATE(15,6,(ROW('macs_ips'!$A$2:$A$403)-ROW(INDEX('macs_ips'!$A$2:$A$403,1,1))+1)/('macs_ips'!$E$2:$E$403=$J$1),ROW(A77))),"")</f>
        <v/>
      </c>
      <c r="D79" s="41">
        <f>IFERROR(INDEX('macs_ips'!$D$2:$D$403,AGGREGATE(15,6,(ROW('macs_ips'!$A$2:$A$403)-ROW(INDEX('macs_ips'!$A$2:$A$403,1,1))+1)/('macs_ips'!$E$2:$E$403=$J$1),ROW(A77))),"")</f>
        <v/>
      </c>
      <c r="E79" s="40">
        <f>IFERROR(INDEX('macs_ips'!$E$2:$E$403,AGGREGATE(15,6,(ROW('macs_ips'!$A$2:$A$403)-ROW(INDEX('macs_ips'!$A$2:$A$403,1,1))+1)/('macs_ips'!$E$2:$E$403=$J$1),ROW(A77))),"")</f>
        <v/>
      </c>
      <c r="F79" s="41">
        <f>IFERROR(INDEX('macs_ips'!$F$2:$F$403,AGGREGATE(15,6,(ROW('macs_ips'!$A$2:$A$403)-ROW(INDEX('macs_ips'!$A$2:$A$403,1,1))+1)/('macs_ips'!$E$2:$E$403=$J$1),ROW(A77))),"")</f>
        <v/>
      </c>
      <c r="G79" s="40">
        <f>IFERROR(INDEX('macs_ips'!$G$2:$G$403,AGGREGATE(15,6,(ROW('macs_ips'!$A$2:$A$403)-ROW(INDEX('macs_ips'!$A$2:$A$403,1,1))+1)/('macs_ips'!$E$2:$E$403=$J$1),ROW(A77))),"")</f>
        <v/>
      </c>
    </row>
    <row r="80">
      <c r="A80" s="40">
        <f>IFERROR(INDEX('macs_ips'!$A$2:$A$403,AGGREGATE(15,6,(ROW('macs_ips'!$A$2:$A$403)-ROW(INDEX('macs_ips'!$A$2:$A$403,1,1))+1)/('macs_ips'!$E$2:$E$403=$J$1),ROW(A78))),"")</f>
        <v/>
      </c>
      <c r="B80" s="40">
        <f>IFERROR(INDEX('macs_ips'!$B$2:$B$403,AGGREGATE(15,6,(ROW('macs_ips'!$A$2:$A$403)-ROW(INDEX('macs_ips'!$A$2:$A$403,1,1))+1)/('macs_ips'!$E$2:$E$403=$J$1),ROW(A78))),"")</f>
        <v/>
      </c>
      <c r="C80" s="40">
        <f>IFERROR(INDEX('macs_ips'!$C$2:$C$403,AGGREGATE(15,6,(ROW('macs_ips'!$A$2:$A$403)-ROW(INDEX('macs_ips'!$A$2:$A$403,1,1))+1)/('macs_ips'!$E$2:$E$403=$J$1),ROW(A78))),"")</f>
        <v/>
      </c>
      <c r="D80" s="41">
        <f>IFERROR(INDEX('macs_ips'!$D$2:$D$403,AGGREGATE(15,6,(ROW('macs_ips'!$A$2:$A$403)-ROW(INDEX('macs_ips'!$A$2:$A$403,1,1))+1)/('macs_ips'!$E$2:$E$403=$J$1),ROW(A78))),"")</f>
        <v/>
      </c>
      <c r="E80" s="40">
        <f>IFERROR(INDEX('macs_ips'!$E$2:$E$403,AGGREGATE(15,6,(ROW('macs_ips'!$A$2:$A$403)-ROW(INDEX('macs_ips'!$A$2:$A$403,1,1))+1)/('macs_ips'!$E$2:$E$403=$J$1),ROW(A78))),"")</f>
        <v/>
      </c>
      <c r="F80" s="41">
        <f>IFERROR(INDEX('macs_ips'!$F$2:$F$403,AGGREGATE(15,6,(ROW('macs_ips'!$A$2:$A$403)-ROW(INDEX('macs_ips'!$A$2:$A$403,1,1))+1)/('macs_ips'!$E$2:$E$403=$J$1),ROW(A78))),"")</f>
        <v/>
      </c>
      <c r="G80" s="40">
        <f>IFERROR(INDEX('macs_ips'!$G$2:$G$403,AGGREGATE(15,6,(ROW('macs_ips'!$A$2:$A$403)-ROW(INDEX('macs_ips'!$A$2:$A$403,1,1))+1)/('macs_ips'!$E$2:$E$403=$J$1),ROW(A78))),"")</f>
        <v/>
      </c>
    </row>
    <row r="81">
      <c r="A81" s="40">
        <f>IFERROR(INDEX('macs_ips'!$A$2:$A$403,AGGREGATE(15,6,(ROW('macs_ips'!$A$2:$A$403)-ROW(INDEX('macs_ips'!$A$2:$A$403,1,1))+1)/('macs_ips'!$E$2:$E$403=$J$1),ROW(A79))),"")</f>
        <v/>
      </c>
      <c r="B81" s="40">
        <f>IFERROR(INDEX('macs_ips'!$B$2:$B$403,AGGREGATE(15,6,(ROW('macs_ips'!$A$2:$A$403)-ROW(INDEX('macs_ips'!$A$2:$A$403,1,1))+1)/('macs_ips'!$E$2:$E$403=$J$1),ROW(A79))),"")</f>
        <v/>
      </c>
      <c r="C81" s="40">
        <f>IFERROR(INDEX('macs_ips'!$C$2:$C$403,AGGREGATE(15,6,(ROW('macs_ips'!$A$2:$A$403)-ROW(INDEX('macs_ips'!$A$2:$A$403,1,1))+1)/('macs_ips'!$E$2:$E$403=$J$1),ROW(A79))),"")</f>
        <v/>
      </c>
      <c r="D81" s="41">
        <f>IFERROR(INDEX('macs_ips'!$D$2:$D$403,AGGREGATE(15,6,(ROW('macs_ips'!$A$2:$A$403)-ROW(INDEX('macs_ips'!$A$2:$A$403,1,1))+1)/('macs_ips'!$E$2:$E$403=$J$1),ROW(A79))),"")</f>
        <v/>
      </c>
      <c r="E81" s="40">
        <f>IFERROR(INDEX('macs_ips'!$E$2:$E$403,AGGREGATE(15,6,(ROW('macs_ips'!$A$2:$A$403)-ROW(INDEX('macs_ips'!$A$2:$A$403,1,1))+1)/('macs_ips'!$E$2:$E$403=$J$1),ROW(A79))),"")</f>
        <v/>
      </c>
      <c r="F81" s="41">
        <f>IFERROR(INDEX('macs_ips'!$F$2:$F$403,AGGREGATE(15,6,(ROW('macs_ips'!$A$2:$A$403)-ROW(INDEX('macs_ips'!$A$2:$A$403,1,1))+1)/('macs_ips'!$E$2:$E$403=$J$1),ROW(A79))),"")</f>
        <v/>
      </c>
      <c r="G81" s="40">
        <f>IFERROR(INDEX('macs_ips'!$G$2:$G$403,AGGREGATE(15,6,(ROW('macs_ips'!$A$2:$A$403)-ROW(INDEX('macs_ips'!$A$2:$A$403,1,1))+1)/('macs_ips'!$E$2:$E$403=$J$1),ROW(A79))),"")</f>
        <v/>
      </c>
    </row>
    <row r="82">
      <c r="A82" s="40">
        <f>IFERROR(INDEX('macs_ips'!$A$2:$A$403,AGGREGATE(15,6,(ROW('macs_ips'!$A$2:$A$403)-ROW(INDEX('macs_ips'!$A$2:$A$403,1,1))+1)/('macs_ips'!$E$2:$E$403=$J$1),ROW(A80))),"")</f>
        <v/>
      </c>
      <c r="B82" s="40">
        <f>IFERROR(INDEX('macs_ips'!$B$2:$B$403,AGGREGATE(15,6,(ROW('macs_ips'!$A$2:$A$403)-ROW(INDEX('macs_ips'!$A$2:$A$403,1,1))+1)/('macs_ips'!$E$2:$E$403=$J$1),ROW(A80))),"")</f>
        <v/>
      </c>
      <c r="C82" s="40">
        <f>IFERROR(INDEX('macs_ips'!$C$2:$C$403,AGGREGATE(15,6,(ROW('macs_ips'!$A$2:$A$403)-ROW(INDEX('macs_ips'!$A$2:$A$403,1,1))+1)/('macs_ips'!$E$2:$E$403=$J$1),ROW(A80))),"")</f>
        <v/>
      </c>
      <c r="D82" s="41">
        <f>IFERROR(INDEX('macs_ips'!$D$2:$D$403,AGGREGATE(15,6,(ROW('macs_ips'!$A$2:$A$403)-ROW(INDEX('macs_ips'!$A$2:$A$403,1,1))+1)/('macs_ips'!$E$2:$E$403=$J$1),ROW(A80))),"")</f>
        <v/>
      </c>
      <c r="E82" s="40">
        <f>IFERROR(INDEX('macs_ips'!$E$2:$E$403,AGGREGATE(15,6,(ROW('macs_ips'!$A$2:$A$403)-ROW(INDEX('macs_ips'!$A$2:$A$403,1,1))+1)/('macs_ips'!$E$2:$E$403=$J$1),ROW(A80))),"")</f>
        <v/>
      </c>
      <c r="F82" s="41">
        <f>IFERROR(INDEX('macs_ips'!$F$2:$F$403,AGGREGATE(15,6,(ROW('macs_ips'!$A$2:$A$403)-ROW(INDEX('macs_ips'!$A$2:$A$403,1,1))+1)/('macs_ips'!$E$2:$E$403=$J$1),ROW(A80))),"")</f>
        <v/>
      </c>
      <c r="G82" s="40">
        <f>IFERROR(INDEX('macs_ips'!$G$2:$G$403,AGGREGATE(15,6,(ROW('macs_ips'!$A$2:$A$403)-ROW(INDEX('macs_ips'!$A$2:$A$403,1,1))+1)/('macs_ips'!$E$2:$E$403=$J$1),ROW(A80))),"")</f>
        <v/>
      </c>
    </row>
    <row r="83">
      <c r="A83" s="40">
        <f>IFERROR(INDEX('macs_ips'!$A$2:$A$403,AGGREGATE(15,6,(ROW('macs_ips'!$A$2:$A$403)-ROW(INDEX('macs_ips'!$A$2:$A$403,1,1))+1)/('macs_ips'!$E$2:$E$403=$J$1),ROW(A81))),"")</f>
        <v/>
      </c>
      <c r="B83" s="40">
        <f>IFERROR(INDEX('macs_ips'!$B$2:$B$403,AGGREGATE(15,6,(ROW('macs_ips'!$A$2:$A$403)-ROW(INDEX('macs_ips'!$A$2:$A$403,1,1))+1)/('macs_ips'!$E$2:$E$403=$J$1),ROW(A81))),"")</f>
        <v/>
      </c>
      <c r="C83" s="40">
        <f>IFERROR(INDEX('macs_ips'!$C$2:$C$403,AGGREGATE(15,6,(ROW('macs_ips'!$A$2:$A$403)-ROW(INDEX('macs_ips'!$A$2:$A$403,1,1))+1)/('macs_ips'!$E$2:$E$403=$J$1),ROW(A81))),"")</f>
        <v/>
      </c>
      <c r="D83" s="41">
        <f>IFERROR(INDEX('macs_ips'!$D$2:$D$403,AGGREGATE(15,6,(ROW('macs_ips'!$A$2:$A$403)-ROW(INDEX('macs_ips'!$A$2:$A$403,1,1))+1)/('macs_ips'!$E$2:$E$403=$J$1),ROW(A81))),"")</f>
        <v/>
      </c>
      <c r="E83" s="40">
        <f>IFERROR(INDEX('macs_ips'!$E$2:$E$403,AGGREGATE(15,6,(ROW('macs_ips'!$A$2:$A$403)-ROW(INDEX('macs_ips'!$A$2:$A$403,1,1))+1)/('macs_ips'!$E$2:$E$403=$J$1),ROW(A81))),"")</f>
        <v/>
      </c>
      <c r="F83" s="41">
        <f>IFERROR(INDEX('macs_ips'!$F$2:$F$403,AGGREGATE(15,6,(ROW('macs_ips'!$A$2:$A$403)-ROW(INDEX('macs_ips'!$A$2:$A$403,1,1))+1)/('macs_ips'!$E$2:$E$403=$J$1),ROW(A81))),"")</f>
        <v/>
      </c>
      <c r="G83" s="40">
        <f>IFERROR(INDEX('macs_ips'!$G$2:$G$403,AGGREGATE(15,6,(ROW('macs_ips'!$A$2:$A$403)-ROW(INDEX('macs_ips'!$A$2:$A$403,1,1))+1)/('macs_ips'!$E$2:$E$403=$J$1),ROW(A81))),"")</f>
        <v/>
      </c>
    </row>
    <row r="84">
      <c r="A84" s="40">
        <f>IFERROR(INDEX('macs_ips'!$A$2:$A$403,AGGREGATE(15,6,(ROW('macs_ips'!$A$2:$A$403)-ROW(INDEX('macs_ips'!$A$2:$A$403,1,1))+1)/('macs_ips'!$E$2:$E$403=$J$1),ROW(A82))),"")</f>
        <v/>
      </c>
      <c r="B84" s="40">
        <f>IFERROR(INDEX('macs_ips'!$B$2:$B$403,AGGREGATE(15,6,(ROW('macs_ips'!$A$2:$A$403)-ROW(INDEX('macs_ips'!$A$2:$A$403,1,1))+1)/('macs_ips'!$E$2:$E$403=$J$1),ROW(A82))),"")</f>
        <v/>
      </c>
      <c r="C84" s="40">
        <f>IFERROR(INDEX('macs_ips'!$C$2:$C$403,AGGREGATE(15,6,(ROW('macs_ips'!$A$2:$A$403)-ROW(INDEX('macs_ips'!$A$2:$A$403,1,1))+1)/('macs_ips'!$E$2:$E$403=$J$1),ROW(A82))),"")</f>
        <v/>
      </c>
      <c r="D84" s="41">
        <f>IFERROR(INDEX('macs_ips'!$D$2:$D$403,AGGREGATE(15,6,(ROW('macs_ips'!$A$2:$A$403)-ROW(INDEX('macs_ips'!$A$2:$A$403,1,1))+1)/('macs_ips'!$E$2:$E$403=$J$1),ROW(A82))),"")</f>
        <v/>
      </c>
      <c r="E84" s="40">
        <f>IFERROR(INDEX('macs_ips'!$E$2:$E$403,AGGREGATE(15,6,(ROW('macs_ips'!$A$2:$A$403)-ROW(INDEX('macs_ips'!$A$2:$A$403,1,1))+1)/('macs_ips'!$E$2:$E$403=$J$1),ROW(A82))),"")</f>
        <v/>
      </c>
      <c r="F84" s="41">
        <f>IFERROR(INDEX('macs_ips'!$F$2:$F$403,AGGREGATE(15,6,(ROW('macs_ips'!$A$2:$A$403)-ROW(INDEX('macs_ips'!$A$2:$A$403,1,1))+1)/('macs_ips'!$E$2:$E$403=$J$1),ROW(A82))),"")</f>
        <v/>
      </c>
      <c r="G84" s="40">
        <f>IFERROR(INDEX('macs_ips'!$G$2:$G$403,AGGREGATE(15,6,(ROW('macs_ips'!$A$2:$A$403)-ROW(INDEX('macs_ips'!$A$2:$A$403,1,1))+1)/('macs_ips'!$E$2:$E$403=$J$1),ROW(A82))),"")</f>
        <v/>
      </c>
    </row>
    <row r="85">
      <c r="A85" s="40">
        <f>IFERROR(INDEX('macs_ips'!$A$2:$A$403,AGGREGATE(15,6,(ROW('macs_ips'!$A$2:$A$403)-ROW(INDEX('macs_ips'!$A$2:$A$403,1,1))+1)/('macs_ips'!$E$2:$E$403=$J$1),ROW(A83))),"")</f>
        <v/>
      </c>
      <c r="B85" s="40">
        <f>IFERROR(INDEX('macs_ips'!$B$2:$B$403,AGGREGATE(15,6,(ROW('macs_ips'!$A$2:$A$403)-ROW(INDEX('macs_ips'!$A$2:$A$403,1,1))+1)/('macs_ips'!$E$2:$E$403=$J$1),ROW(A83))),"")</f>
        <v/>
      </c>
      <c r="C85" s="40">
        <f>IFERROR(INDEX('macs_ips'!$C$2:$C$403,AGGREGATE(15,6,(ROW('macs_ips'!$A$2:$A$403)-ROW(INDEX('macs_ips'!$A$2:$A$403,1,1))+1)/('macs_ips'!$E$2:$E$403=$J$1),ROW(A83))),"")</f>
        <v/>
      </c>
      <c r="D85" s="41">
        <f>IFERROR(INDEX('macs_ips'!$D$2:$D$403,AGGREGATE(15,6,(ROW('macs_ips'!$A$2:$A$403)-ROW(INDEX('macs_ips'!$A$2:$A$403,1,1))+1)/('macs_ips'!$E$2:$E$403=$J$1),ROW(A83))),"")</f>
        <v/>
      </c>
      <c r="E85" s="40">
        <f>IFERROR(INDEX('macs_ips'!$E$2:$E$403,AGGREGATE(15,6,(ROW('macs_ips'!$A$2:$A$403)-ROW(INDEX('macs_ips'!$A$2:$A$403,1,1))+1)/('macs_ips'!$E$2:$E$403=$J$1),ROW(A83))),"")</f>
        <v/>
      </c>
      <c r="F85" s="41">
        <f>IFERROR(INDEX('macs_ips'!$F$2:$F$403,AGGREGATE(15,6,(ROW('macs_ips'!$A$2:$A$403)-ROW(INDEX('macs_ips'!$A$2:$A$403,1,1))+1)/('macs_ips'!$E$2:$E$403=$J$1),ROW(A83))),"")</f>
        <v/>
      </c>
      <c r="G85" s="40">
        <f>IFERROR(INDEX('macs_ips'!$G$2:$G$403,AGGREGATE(15,6,(ROW('macs_ips'!$A$2:$A$403)-ROW(INDEX('macs_ips'!$A$2:$A$403,1,1))+1)/('macs_ips'!$E$2:$E$403=$J$1),ROW(A83))),"")</f>
        <v/>
      </c>
    </row>
    <row r="86">
      <c r="A86" s="40">
        <f>IFERROR(INDEX('macs_ips'!$A$2:$A$403,AGGREGATE(15,6,(ROW('macs_ips'!$A$2:$A$403)-ROW(INDEX('macs_ips'!$A$2:$A$403,1,1))+1)/('macs_ips'!$E$2:$E$403=$J$1),ROW(A84))),"")</f>
        <v/>
      </c>
      <c r="B86" s="40">
        <f>IFERROR(INDEX('macs_ips'!$B$2:$B$403,AGGREGATE(15,6,(ROW('macs_ips'!$A$2:$A$403)-ROW(INDEX('macs_ips'!$A$2:$A$403,1,1))+1)/('macs_ips'!$E$2:$E$403=$J$1),ROW(A84))),"")</f>
        <v/>
      </c>
      <c r="C86" s="40">
        <f>IFERROR(INDEX('macs_ips'!$C$2:$C$403,AGGREGATE(15,6,(ROW('macs_ips'!$A$2:$A$403)-ROW(INDEX('macs_ips'!$A$2:$A$403,1,1))+1)/('macs_ips'!$E$2:$E$403=$J$1),ROW(A84))),"")</f>
        <v/>
      </c>
      <c r="D86" s="41">
        <f>IFERROR(INDEX('macs_ips'!$D$2:$D$403,AGGREGATE(15,6,(ROW('macs_ips'!$A$2:$A$403)-ROW(INDEX('macs_ips'!$A$2:$A$403,1,1))+1)/('macs_ips'!$E$2:$E$403=$J$1),ROW(A84))),"")</f>
        <v/>
      </c>
      <c r="E86" s="40">
        <f>IFERROR(INDEX('macs_ips'!$E$2:$E$403,AGGREGATE(15,6,(ROW('macs_ips'!$A$2:$A$403)-ROW(INDEX('macs_ips'!$A$2:$A$403,1,1))+1)/('macs_ips'!$E$2:$E$403=$J$1),ROW(A84))),"")</f>
        <v/>
      </c>
      <c r="F86" s="41">
        <f>IFERROR(INDEX('macs_ips'!$F$2:$F$403,AGGREGATE(15,6,(ROW('macs_ips'!$A$2:$A$403)-ROW(INDEX('macs_ips'!$A$2:$A$403,1,1))+1)/('macs_ips'!$E$2:$E$403=$J$1),ROW(A84))),"")</f>
        <v/>
      </c>
      <c r="G86" s="40">
        <f>IFERROR(INDEX('macs_ips'!$G$2:$G$403,AGGREGATE(15,6,(ROW('macs_ips'!$A$2:$A$403)-ROW(INDEX('macs_ips'!$A$2:$A$403,1,1))+1)/('macs_ips'!$E$2:$E$403=$J$1),ROW(A84))),"")</f>
        <v/>
      </c>
    </row>
    <row r="87">
      <c r="A87" s="40">
        <f>IFERROR(INDEX('macs_ips'!$A$2:$A$403,AGGREGATE(15,6,(ROW('macs_ips'!$A$2:$A$403)-ROW(INDEX('macs_ips'!$A$2:$A$403,1,1))+1)/('macs_ips'!$E$2:$E$403=$J$1),ROW(A85))),"")</f>
        <v/>
      </c>
      <c r="B87" s="40">
        <f>IFERROR(INDEX('macs_ips'!$B$2:$B$403,AGGREGATE(15,6,(ROW('macs_ips'!$A$2:$A$403)-ROW(INDEX('macs_ips'!$A$2:$A$403,1,1))+1)/('macs_ips'!$E$2:$E$403=$J$1),ROW(A85))),"")</f>
        <v/>
      </c>
      <c r="C87" s="40">
        <f>IFERROR(INDEX('macs_ips'!$C$2:$C$403,AGGREGATE(15,6,(ROW('macs_ips'!$A$2:$A$403)-ROW(INDEX('macs_ips'!$A$2:$A$403,1,1))+1)/('macs_ips'!$E$2:$E$403=$J$1),ROW(A85))),"")</f>
        <v/>
      </c>
      <c r="D87" s="41">
        <f>IFERROR(INDEX('macs_ips'!$D$2:$D$403,AGGREGATE(15,6,(ROW('macs_ips'!$A$2:$A$403)-ROW(INDEX('macs_ips'!$A$2:$A$403,1,1))+1)/('macs_ips'!$E$2:$E$403=$J$1),ROW(A85))),"")</f>
        <v/>
      </c>
      <c r="E87" s="40">
        <f>IFERROR(INDEX('macs_ips'!$E$2:$E$403,AGGREGATE(15,6,(ROW('macs_ips'!$A$2:$A$403)-ROW(INDEX('macs_ips'!$A$2:$A$403,1,1))+1)/('macs_ips'!$E$2:$E$403=$J$1),ROW(A85))),"")</f>
        <v/>
      </c>
      <c r="F87" s="41">
        <f>IFERROR(INDEX('macs_ips'!$F$2:$F$403,AGGREGATE(15,6,(ROW('macs_ips'!$A$2:$A$403)-ROW(INDEX('macs_ips'!$A$2:$A$403,1,1))+1)/('macs_ips'!$E$2:$E$403=$J$1),ROW(A85))),"")</f>
        <v/>
      </c>
      <c r="G87" s="40">
        <f>IFERROR(INDEX('macs_ips'!$G$2:$G$403,AGGREGATE(15,6,(ROW('macs_ips'!$A$2:$A$403)-ROW(INDEX('macs_ips'!$A$2:$A$403,1,1))+1)/('macs_ips'!$E$2:$E$403=$J$1),ROW(A85))),"")</f>
        <v/>
      </c>
    </row>
    <row r="88">
      <c r="A88" s="40">
        <f>IFERROR(INDEX('macs_ips'!$A$2:$A$403,AGGREGATE(15,6,(ROW('macs_ips'!$A$2:$A$403)-ROW(INDEX('macs_ips'!$A$2:$A$403,1,1))+1)/('macs_ips'!$E$2:$E$403=$J$1),ROW(A86))),"")</f>
        <v/>
      </c>
      <c r="B88" s="40">
        <f>IFERROR(INDEX('macs_ips'!$B$2:$B$403,AGGREGATE(15,6,(ROW('macs_ips'!$A$2:$A$403)-ROW(INDEX('macs_ips'!$A$2:$A$403,1,1))+1)/('macs_ips'!$E$2:$E$403=$J$1),ROW(A86))),"")</f>
        <v/>
      </c>
      <c r="C88" s="40">
        <f>IFERROR(INDEX('macs_ips'!$C$2:$C$403,AGGREGATE(15,6,(ROW('macs_ips'!$A$2:$A$403)-ROW(INDEX('macs_ips'!$A$2:$A$403,1,1))+1)/('macs_ips'!$E$2:$E$403=$J$1),ROW(A86))),"")</f>
        <v/>
      </c>
      <c r="D88" s="41">
        <f>IFERROR(INDEX('macs_ips'!$D$2:$D$403,AGGREGATE(15,6,(ROW('macs_ips'!$A$2:$A$403)-ROW(INDEX('macs_ips'!$A$2:$A$403,1,1))+1)/('macs_ips'!$E$2:$E$403=$J$1),ROW(A86))),"")</f>
        <v/>
      </c>
      <c r="E88" s="40">
        <f>IFERROR(INDEX('macs_ips'!$E$2:$E$403,AGGREGATE(15,6,(ROW('macs_ips'!$A$2:$A$403)-ROW(INDEX('macs_ips'!$A$2:$A$403,1,1))+1)/('macs_ips'!$E$2:$E$403=$J$1),ROW(A86))),"")</f>
        <v/>
      </c>
      <c r="F88" s="41">
        <f>IFERROR(INDEX('macs_ips'!$F$2:$F$403,AGGREGATE(15,6,(ROW('macs_ips'!$A$2:$A$403)-ROW(INDEX('macs_ips'!$A$2:$A$403,1,1))+1)/('macs_ips'!$E$2:$E$403=$J$1),ROW(A86))),"")</f>
        <v/>
      </c>
      <c r="G88" s="40">
        <f>IFERROR(INDEX('macs_ips'!$G$2:$G$403,AGGREGATE(15,6,(ROW('macs_ips'!$A$2:$A$403)-ROW(INDEX('macs_ips'!$A$2:$A$403,1,1))+1)/('macs_ips'!$E$2:$E$403=$J$1),ROW(A86))),"")</f>
        <v/>
      </c>
    </row>
    <row r="89">
      <c r="A89" s="40">
        <f>IFERROR(INDEX('macs_ips'!$A$2:$A$403,AGGREGATE(15,6,(ROW('macs_ips'!$A$2:$A$403)-ROW(INDEX('macs_ips'!$A$2:$A$403,1,1))+1)/('macs_ips'!$E$2:$E$403=$J$1),ROW(A87))),"")</f>
        <v/>
      </c>
      <c r="B89" s="40">
        <f>IFERROR(INDEX('macs_ips'!$B$2:$B$403,AGGREGATE(15,6,(ROW('macs_ips'!$A$2:$A$403)-ROW(INDEX('macs_ips'!$A$2:$A$403,1,1))+1)/('macs_ips'!$E$2:$E$403=$J$1),ROW(A87))),"")</f>
        <v/>
      </c>
      <c r="C89" s="40">
        <f>IFERROR(INDEX('macs_ips'!$C$2:$C$403,AGGREGATE(15,6,(ROW('macs_ips'!$A$2:$A$403)-ROW(INDEX('macs_ips'!$A$2:$A$403,1,1))+1)/('macs_ips'!$E$2:$E$403=$J$1),ROW(A87))),"")</f>
        <v/>
      </c>
      <c r="D89" s="41">
        <f>IFERROR(INDEX('macs_ips'!$D$2:$D$403,AGGREGATE(15,6,(ROW('macs_ips'!$A$2:$A$403)-ROW(INDEX('macs_ips'!$A$2:$A$403,1,1))+1)/('macs_ips'!$E$2:$E$403=$J$1),ROW(A87))),"")</f>
        <v/>
      </c>
      <c r="E89" s="40">
        <f>IFERROR(INDEX('macs_ips'!$E$2:$E$403,AGGREGATE(15,6,(ROW('macs_ips'!$A$2:$A$403)-ROW(INDEX('macs_ips'!$A$2:$A$403,1,1))+1)/('macs_ips'!$E$2:$E$403=$J$1),ROW(A87))),"")</f>
        <v/>
      </c>
      <c r="F89" s="41">
        <f>IFERROR(INDEX('macs_ips'!$F$2:$F$403,AGGREGATE(15,6,(ROW('macs_ips'!$A$2:$A$403)-ROW(INDEX('macs_ips'!$A$2:$A$403,1,1))+1)/('macs_ips'!$E$2:$E$403=$J$1),ROW(A87))),"")</f>
        <v/>
      </c>
      <c r="G89" s="40">
        <f>IFERROR(INDEX('macs_ips'!$G$2:$G$403,AGGREGATE(15,6,(ROW('macs_ips'!$A$2:$A$403)-ROW(INDEX('macs_ips'!$A$2:$A$403,1,1))+1)/('macs_ips'!$E$2:$E$403=$J$1),ROW(A87))),"")</f>
        <v/>
      </c>
    </row>
    <row r="90">
      <c r="A90" s="40">
        <f>IFERROR(INDEX('macs_ips'!$A$2:$A$403,AGGREGATE(15,6,(ROW('macs_ips'!$A$2:$A$403)-ROW(INDEX('macs_ips'!$A$2:$A$403,1,1))+1)/('macs_ips'!$E$2:$E$403=$J$1),ROW(A88))),"")</f>
        <v/>
      </c>
      <c r="B90" s="40">
        <f>IFERROR(INDEX('macs_ips'!$B$2:$B$403,AGGREGATE(15,6,(ROW('macs_ips'!$A$2:$A$403)-ROW(INDEX('macs_ips'!$A$2:$A$403,1,1))+1)/('macs_ips'!$E$2:$E$403=$J$1),ROW(A88))),"")</f>
        <v/>
      </c>
      <c r="C90" s="40">
        <f>IFERROR(INDEX('macs_ips'!$C$2:$C$403,AGGREGATE(15,6,(ROW('macs_ips'!$A$2:$A$403)-ROW(INDEX('macs_ips'!$A$2:$A$403,1,1))+1)/('macs_ips'!$E$2:$E$403=$J$1),ROW(A88))),"")</f>
        <v/>
      </c>
      <c r="D90" s="41">
        <f>IFERROR(INDEX('macs_ips'!$D$2:$D$403,AGGREGATE(15,6,(ROW('macs_ips'!$A$2:$A$403)-ROW(INDEX('macs_ips'!$A$2:$A$403,1,1))+1)/('macs_ips'!$E$2:$E$403=$J$1),ROW(A88))),"")</f>
        <v/>
      </c>
      <c r="E90" s="40">
        <f>IFERROR(INDEX('macs_ips'!$E$2:$E$403,AGGREGATE(15,6,(ROW('macs_ips'!$A$2:$A$403)-ROW(INDEX('macs_ips'!$A$2:$A$403,1,1))+1)/('macs_ips'!$E$2:$E$403=$J$1),ROW(A88))),"")</f>
        <v/>
      </c>
      <c r="F90" s="41">
        <f>IFERROR(INDEX('macs_ips'!$F$2:$F$403,AGGREGATE(15,6,(ROW('macs_ips'!$A$2:$A$403)-ROW(INDEX('macs_ips'!$A$2:$A$403,1,1))+1)/('macs_ips'!$E$2:$E$403=$J$1),ROW(A88))),"")</f>
        <v/>
      </c>
      <c r="G90" s="40">
        <f>IFERROR(INDEX('macs_ips'!$G$2:$G$403,AGGREGATE(15,6,(ROW('macs_ips'!$A$2:$A$403)-ROW(INDEX('macs_ips'!$A$2:$A$403,1,1))+1)/('macs_ips'!$E$2:$E$403=$J$1),ROW(A88))),"")</f>
        <v/>
      </c>
    </row>
    <row r="91">
      <c r="A91" s="40">
        <f>IFERROR(INDEX('macs_ips'!$A$2:$A$403,AGGREGATE(15,6,(ROW('macs_ips'!$A$2:$A$403)-ROW(INDEX('macs_ips'!$A$2:$A$403,1,1))+1)/('macs_ips'!$E$2:$E$403=$J$1),ROW(A89))),"")</f>
        <v/>
      </c>
      <c r="B91" s="40">
        <f>IFERROR(INDEX('macs_ips'!$B$2:$B$403,AGGREGATE(15,6,(ROW('macs_ips'!$A$2:$A$403)-ROW(INDEX('macs_ips'!$A$2:$A$403,1,1))+1)/('macs_ips'!$E$2:$E$403=$J$1),ROW(A89))),"")</f>
        <v/>
      </c>
      <c r="C91" s="40">
        <f>IFERROR(INDEX('macs_ips'!$C$2:$C$403,AGGREGATE(15,6,(ROW('macs_ips'!$A$2:$A$403)-ROW(INDEX('macs_ips'!$A$2:$A$403,1,1))+1)/('macs_ips'!$E$2:$E$403=$J$1),ROW(A89))),"")</f>
        <v/>
      </c>
      <c r="D91" s="41">
        <f>IFERROR(INDEX('macs_ips'!$D$2:$D$403,AGGREGATE(15,6,(ROW('macs_ips'!$A$2:$A$403)-ROW(INDEX('macs_ips'!$A$2:$A$403,1,1))+1)/('macs_ips'!$E$2:$E$403=$J$1),ROW(A89))),"")</f>
        <v/>
      </c>
      <c r="E91" s="40">
        <f>IFERROR(INDEX('macs_ips'!$E$2:$E$403,AGGREGATE(15,6,(ROW('macs_ips'!$A$2:$A$403)-ROW(INDEX('macs_ips'!$A$2:$A$403,1,1))+1)/('macs_ips'!$E$2:$E$403=$J$1),ROW(A89))),"")</f>
        <v/>
      </c>
      <c r="F91" s="41">
        <f>IFERROR(INDEX('macs_ips'!$F$2:$F$403,AGGREGATE(15,6,(ROW('macs_ips'!$A$2:$A$403)-ROW(INDEX('macs_ips'!$A$2:$A$403,1,1))+1)/('macs_ips'!$E$2:$E$403=$J$1),ROW(A89))),"")</f>
        <v/>
      </c>
      <c r="G91" s="40">
        <f>IFERROR(INDEX('macs_ips'!$G$2:$G$403,AGGREGATE(15,6,(ROW('macs_ips'!$A$2:$A$403)-ROW(INDEX('macs_ips'!$A$2:$A$403,1,1))+1)/('macs_ips'!$E$2:$E$403=$J$1),ROW(A89))),"")</f>
        <v/>
      </c>
    </row>
    <row r="92">
      <c r="A92" s="40">
        <f>IFERROR(INDEX('macs_ips'!$A$2:$A$403,AGGREGATE(15,6,(ROW('macs_ips'!$A$2:$A$403)-ROW(INDEX('macs_ips'!$A$2:$A$403,1,1))+1)/('macs_ips'!$E$2:$E$403=$J$1),ROW(A90))),"")</f>
        <v/>
      </c>
      <c r="B92" s="40">
        <f>IFERROR(INDEX('macs_ips'!$B$2:$B$403,AGGREGATE(15,6,(ROW('macs_ips'!$A$2:$A$403)-ROW(INDEX('macs_ips'!$A$2:$A$403,1,1))+1)/('macs_ips'!$E$2:$E$403=$J$1),ROW(A90))),"")</f>
        <v/>
      </c>
      <c r="C92" s="40">
        <f>IFERROR(INDEX('macs_ips'!$C$2:$C$403,AGGREGATE(15,6,(ROW('macs_ips'!$A$2:$A$403)-ROW(INDEX('macs_ips'!$A$2:$A$403,1,1))+1)/('macs_ips'!$E$2:$E$403=$J$1),ROW(A90))),"")</f>
        <v/>
      </c>
      <c r="D92" s="41">
        <f>IFERROR(INDEX('macs_ips'!$D$2:$D$403,AGGREGATE(15,6,(ROW('macs_ips'!$A$2:$A$403)-ROW(INDEX('macs_ips'!$A$2:$A$403,1,1))+1)/('macs_ips'!$E$2:$E$403=$J$1),ROW(A90))),"")</f>
        <v/>
      </c>
      <c r="E92" s="40">
        <f>IFERROR(INDEX('macs_ips'!$E$2:$E$403,AGGREGATE(15,6,(ROW('macs_ips'!$A$2:$A$403)-ROW(INDEX('macs_ips'!$A$2:$A$403,1,1))+1)/('macs_ips'!$E$2:$E$403=$J$1),ROW(A90))),"")</f>
        <v/>
      </c>
      <c r="F92" s="41">
        <f>IFERROR(INDEX('macs_ips'!$F$2:$F$403,AGGREGATE(15,6,(ROW('macs_ips'!$A$2:$A$403)-ROW(INDEX('macs_ips'!$A$2:$A$403,1,1))+1)/('macs_ips'!$E$2:$E$403=$J$1),ROW(A90))),"")</f>
        <v/>
      </c>
      <c r="G92" s="40">
        <f>IFERROR(INDEX('macs_ips'!$G$2:$G$403,AGGREGATE(15,6,(ROW('macs_ips'!$A$2:$A$403)-ROW(INDEX('macs_ips'!$A$2:$A$403,1,1))+1)/('macs_ips'!$E$2:$E$403=$J$1),ROW(A90))),"")</f>
        <v/>
      </c>
    </row>
    <row r="93">
      <c r="A93" s="40">
        <f>IFERROR(INDEX('macs_ips'!$A$2:$A$403,AGGREGATE(15,6,(ROW('macs_ips'!$A$2:$A$403)-ROW(INDEX('macs_ips'!$A$2:$A$403,1,1))+1)/('macs_ips'!$E$2:$E$403=$J$1),ROW(A91))),"")</f>
        <v/>
      </c>
      <c r="B93" s="40">
        <f>IFERROR(INDEX('macs_ips'!$B$2:$B$403,AGGREGATE(15,6,(ROW('macs_ips'!$A$2:$A$403)-ROW(INDEX('macs_ips'!$A$2:$A$403,1,1))+1)/('macs_ips'!$E$2:$E$403=$J$1),ROW(A91))),"")</f>
        <v/>
      </c>
      <c r="C93" s="40">
        <f>IFERROR(INDEX('macs_ips'!$C$2:$C$403,AGGREGATE(15,6,(ROW('macs_ips'!$A$2:$A$403)-ROW(INDEX('macs_ips'!$A$2:$A$403,1,1))+1)/('macs_ips'!$E$2:$E$403=$J$1),ROW(A91))),"")</f>
        <v/>
      </c>
      <c r="D93" s="41">
        <f>IFERROR(INDEX('macs_ips'!$D$2:$D$403,AGGREGATE(15,6,(ROW('macs_ips'!$A$2:$A$403)-ROW(INDEX('macs_ips'!$A$2:$A$403,1,1))+1)/('macs_ips'!$E$2:$E$403=$J$1),ROW(A91))),"")</f>
        <v/>
      </c>
      <c r="E93" s="40">
        <f>IFERROR(INDEX('macs_ips'!$E$2:$E$403,AGGREGATE(15,6,(ROW('macs_ips'!$A$2:$A$403)-ROW(INDEX('macs_ips'!$A$2:$A$403,1,1))+1)/('macs_ips'!$E$2:$E$403=$J$1),ROW(A91))),"")</f>
        <v/>
      </c>
      <c r="F93" s="41">
        <f>IFERROR(INDEX('macs_ips'!$F$2:$F$403,AGGREGATE(15,6,(ROW('macs_ips'!$A$2:$A$403)-ROW(INDEX('macs_ips'!$A$2:$A$403,1,1))+1)/('macs_ips'!$E$2:$E$403=$J$1),ROW(A91))),"")</f>
        <v/>
      </c>
      <c r="G93" s="40">
        <f>IFERROR(INDEX('macs_ips'!$G$2:$G$403,AGGREGATE(15,6,(ROW('macs_ips'!$A$2:$A$403)-ROW(INDEX('macs_ips'!$A$2:$A$403,1,1))+1)/('macs_ips'!$E$2:$E$403=$J$1),ROW(A91))),"")</f>
        <v/>
      </c>
    </row>
    <row r="94">
      <c r="A94" s="40">
        <f>IFERROR(INDEX('macs_ips'!$A$2:$A$403,AGGREGATE(15,6,(ROW('macs_ips'!$A$2:$A$403)-ROW(INDEX('macs_ips'!$A$2:$A$403,1,1))+1)/('macs_ips'!$E$2:$E$403=$J$1),ROW(A92))),"")</f>
        <v/>
      </c>
      <c r="B94" s="40">
        <f>IFERROR(INDEX('macs_ips'!$B$2:$B$403,AGGREGATE(15,6,(ROW('macs_ips'!$A$2:$A$403)-ROW(INDEX('macs_ips'!$A$2:$A$403,1,1))+1)/('macs_ips'!$E$2:$E$403=$J$1),ROW(A92))),"")</f>
        <v/>
      </c>
      <c r="C94" s="40">
        <f>IFERROR(INDEX('macs_ips'!$C$2:$C$403,AGGREGATE(15,6,(ROW('macs_ips'!$A$2:$A$403)-ROW(INDEX('macs_ips'!$A$2:$A$403,1,1))+1)/('macs_ips'!$E$2:$E$403=$J$1),ROW(A92))),"")</f>
        <v/>
      </c>
      <c r="D94" s="41">
        <f>IFERROR(INDEX('macs_ips'!$D$2:$D$403,AGGREGATE(15,6,(ROW('macs_ips'!$A$2:$A$403)-ROW(INDEX('macs_ips'!$A$2:$A$403,1,1))+1)/('macs_ips'!$E$2:$E$403=$J$1),ROW(A92))),"")</f>
        <v/>
      </c>
      <c r="E94" s="40">
        <f>IFERROR(INDEX('macs_ips'!$E$2:$E$403,AGGREGATE(15,6,(ROW('macs_ips'!$A$2:$A$403)-ROW(INDEX('macs_ips'!$A$2:$A$403,1,1))+1)/('macs_ips'!$E$2:$E$403=$J$1),ROW(A92))),"")</f>
        <v/>
      </c>
      <c r="F94" s="41">
        <f>IFERROR(INDEX('macs_ips'!$F$2:$F$403,AGGREGATE(15,6,(ROW('macs_ips'!$A$2:$A$403)-ROW(INDEX('macs_ips'!$A$2:$A$403,1,1))+1)/('macs_ips'!$E$2:$E$403=$J$1),ROW(A92))),"")</f>
        <v/>
      </c>
      <c r="G94" s="40">
        <f>IFERROR(INDEX('macs_ips'!$G$2:$G$403,AGGREGATE(15,6,(ROW('macs_ips'!$A$2:$A$403)-ROW(INDEX('macs_ips'!$A$2:$A$403,1,1))+1)/('macs_ips'!$E$2:$E$403=$J$1),ROW(A92))),"")</f>
        <v/>
      </c>
    </row>
    <row r="95">
      <c r="A95" s="40">
        <f>IFERROR(INDEX('macs_ips'!$A$2:$A$403,AGGREGATE(15,6,(ROW('macs_ips'!$A$2:$A$403)-ROW(INDEX('macs_ips'!$A$2:$A$403,1,1))+1)/('macs_ips'!$E$2:$E$403=$J$1),ROW(A93))),"")</f>
        <v/>
      </c>
      <c r="B95" s="40">
        <f>IFERROR(INDEX('macs_ips'!$B$2:$B$403,AGGREGATE(15,6,(ROW('macs_ips'!$A$2:$A$403)-ROW(INDEX('macs_ips'!$A$2:$A$403,1,1))+1)/('macs_ips'!$E$2:$E$403=$J$1),ROW(A93))),"")</f>
        <v/>
      </c>
      <c r="C95" s="40">
        <f>IFERROR(INDEX('macs_ips'!$C$2:$C$403,AGGREGATE(15,6,(ROW('macs_ips'!$A$2:$A$403)-ROW(INDEX('macs_ips'!$A$2:$A$403,1,1))+1)/('macs_ips'!$E$2:$E$403=$J$1),ROW(A93))),"")</f>
        <v/>
      </c>
      <c r="D95" s="41">
        <f>IFERROR(INDEX('macs_ips'!$D$2:$D$403,AGGREGATE(15,6,(ROW('macs_ips'!$A$2:$A$403)-ROW(INDEX('macs_ips'!$A$2:$A$403,1,1))+1)/('macs_ips'!$E$2:$E$403=$J$1),ROW(A93))),"")</f>
        <v/>
      </c>
      <c r="E95" s="40">
        <f>IFERROR(INDEX('macs_ips'!$E$2:$E$403,AGGREGATE(15,6,(ROW('macs_ips'!$A$2:$A$403)-ROW(INDEX('macs_ips'!$A$2:$A$403,1,1))+1)/('macs_ips'!$E$2:$E$403=$J$1),ROW(A93))),"")</f>
        <v/>
      </c>
      <c r="F95" s="41">
        <f>IFERROR(INDEX('macs_ips'!$F$2:$F$403,AGGREGATE(15,6,(ROW('macs_ips'!$A$2:$A$403)-ROW(INDEX('macs_ips'!$A$2:$A$403,1,1))+1)/('macs_ips'!$E$2:$E$403=$J$1),ROW(A93))),"")</f>
        <v/>
      </c>
      <c r="G95" s="40">
        <f>IFERROR(INDEX('macs_ips'!$G$2:$G$403,AGGREGATE(15,6,(ROW('macs_ips'!$A$2:$A$403)-ROW(INDEX('macs_ips'!$A$2:$A$403,1,1))+1)/('macs_ips'!$E$2:$E$403=$J$1),ROW(A93))),"")</f>
        <v/>
      </c>
    </row>
    <row r="96">
      <c r="A96" s="40">
        <f>IFERROR(INDEX('macs_ips'!$A$2:$A$403,AGGREGATE(15,6,(ROW('macs_ips'!$A$2:$A$403)-ROW(INDEX('macs_ips'!$A$2:$A$403,1,1))+1)/('macs_ips'!$E$2:$E$403=$J$1),ROW(A94))),"")</f>
        <v/>
      </c>
      <c r="B96" s="40">
        <f>IFERROR(INDEX('macs_ips'!$B$2:$B$403,AGGREGATE(15,6,(ROW('macs_ips'!$A$2:$A$403)-ROW(INDEX('macs_ips'!$A$2:$A$403,1,1))+1)/('macs_ips'!$E$2:$E$403=$J$1),ROW(A94))),"")</f>
        <v/>
      </c>
      <c r="C96" s="40">
        <f>IFERROR(INDEX('macs_ips'!$C$2:$C$403,AGGREGATE(15,6,(ROW('macs_ips'!$A$2:$A$403)-ROW(INDEX('macs_ips'!$A$2:$A$403,1,1))+1)/('macs_ips'!$E$2:$E$403=$J$1),ROW(A94))),"")</f>
        <v/>
      </c>
      <c r="D96" s="41">
        <f>IFERROR(INDEX('macs_ips'!$D$2:$D$403,AGGREGATE(15,6,(ROW('macs_ips'!$A$2:$A$403)-ROW(INDEX('macs_ips'!$A$2:$A$403,1,1))+1)/('macs_ips'!$E$2:$E$403=$J$1),ROW(A94))),"")</f>
        <v/>
      </c>
      <c r="E96" s="40">
        <f>IFERROR(INDEX('macs_ips'!$E$2:$E$403,AGGREGATE(15,6,(ROW('macs_ips'!$A$2:$A$403)-ROW(INDEX('macs_ips'!$A$2:$A$403,1,1))+1)/('macs_ips'!$E$2:$E$403=$J$1),ROW(A94))),"")</f>
        <v/>
      </c>
      <c r="F96" s="41">
        <f>IFERROR(INDEX('macs_ips'!$F$2:$F$403,AGGREGATE(15,6,(ROW('macs_ips'!$A$2:$A$403)-ROW(INDEX('macs_ips'!$A$2:$A$403,1,1))+1)/('macs_ips'!$E$2:$E$403=$J$1),ROW(A94))),"")</f>
        <v/>
      </c>
      <c r="G96" s="40">
        <f>IFERROR(INDEX('macs_ips'!$G$2:$G$403,AGGREGATE(15,6,(ROW('macs_ips'!$A$2:$A$403)-ROW(INDEX('macs_ips'!$A$2:$A$403,1,1))+1)/('macs_ips'!$E$2:$E$403=$J$1),ROW(A94))),"")</f>
        <v/>
      </c>
    </row>
    <row r="97">
      <c r="A97" s="40">
        <f>IFERROR(INDEX('macs_ips'!$A$2:$A$403,AGGREGATE(15,6,(ROW('macs_ips'!$A$2:$A$403)-ROW(INDEX('macs_ips'!$A$2:$A$403,1,1))+1)/('macs_ips'!$E$2:$E$403=$J$1),ROW(A95))),"")</f>
        <v/>
      </c>
      <c r="B97" s="40">
        <f>IFERROR(INDEX('macs_ips'!$B$2:$B$403,AGGREGATE(15,6,(ROW('macs_ips'!$A$2:$A$403)-ROW(INDEX('macs_ips'!$A$2:$A$403,1,1))+1)/('macs_ips'!$E$2:$E$403=$J$1),ROW(A95))),"")</f>
        <v/>
      </c>
      <c r="C97" s="40">
        <f>IFERROR(INDEX('macs_ips'!$C$2:$C$403,AGGREGATE(15,6,(ROW('macs_ips'!$A$2:$A$403)-ROW(INDEX('macs_ips'!$A$2:$A$403,1,1))+1)/('macs_ips'!$E$2:$E$403=$J$1),ROW(A95))),"")</f>
        <v/>
      </c>
      <c r="D97" s="41">
        <f>IFERROR(INDEX('macs_ips'!$D$2:$D$403,AGGREGATE(15,6,(ROW('macs_ips'!$A$2:$A$403)-ROW(INDEX('macs_ips'!$A$2:$A$403,1,1))+1)/('macs_ips'!$E$2:$E$403=$J$1),ROW(A95))),"")</f>
        <v/>
      </c>
      <c r="E97" s="40">
        <f>IFERROR(INDEX('macs_ips'!$E$2:$E$403,AGGREGATE(15,6,(ROW('macs_ips'!$A$2:$A$403)-ROW(INDEX('macs_ips'!$A$2:$A$403,1,1))+1)/('macs_ips'!$E$2:$E$403=$J$1),ROW(A95))),"")</f>
        <v/>
      </c>
      <c r="F97" s="41">
        <f>IFERROR(INDEX('macs_ips'!$F$2:$F$403,AGGREGATE(15,6,(ROW('macs_ips'!$A$2:$A$403)-ROW(INDEX('macs_ips'!$A$2:$A$403,1,1))+1)/('macs_ips'!$E$2:$E$403=$J$1),ROW(A95))),"")</f>
        <v/>
      </c>
      <c r="G97" s="40">
        <f>IFERROR(INDEX('macs_ips'!$G$2:$G$403,AGGREGATE(15,6,(ROW('macs_ips'!$A$2:$A$403)-ROW(INDEX('macs_ips'!$A$2:$A$403,1,1))+1)/('macs_ips'!$E$2:$E$403=$J$1),ROW(A95))),"")</f>
        <v/>
      </c>
    </row>
    <row r="98">
      <c r="A98" s="40">
        <f>IFERROR(INDEX('macs_ips'!$A$2:$A$403,AGGREGATE(15,6,(ROW('macs_ips'!$A$2:$A$403)-ROW(INDEX('macs_ips'!$A$2:$A$403,1,1))+1)/('macs_ips'!$E$2:$E$403=$J$1),ROW(A96))),"")</f>
        <v/>
      </c>
      <c r="B98" s="40">
        <f>IFERROR(INDEX('macs_ips'!$B$2:$B$403,AGGREGATE(15,6,(ROW('macs_ips'!$A$2:$A$403)-ROW(INDEX('macs_ips'!$A$2:$A$403,1,1))+1)/('macs_ips'!$E$2:$E$403=$J$1),ROW(A96))),"")</f>
        <v/>
      </c>
      <c r="C98" s="40">
        <f>IFERROR(INDEX('macs_ips'!$C$2:$C$403,AGGREGATE(15,6,(ROW('macs_ips'!$A$2:$A$403)-ROW(INDEX('macs_ips'!$A$2:$A$403,1,1))+1)/('macs_ips'!$E$2:$E$403=$J$1),ROW(A96))),"")</f>
        <v/>
      </c>
      <c r="D98" s="41">
        <f>IFERROR(INDEX('macs_ips'!$D$2:$D$403,AGGREGATE(15,6,(ROW('macs_ips'!$A$2:$A$403)-ROW(INDEX('macs_ips'!$A$2:$A$403,1,1))+1)/('macs_ips'!$E$2:$E$403=$J$1),ROW(A96))),"")</f>
        <v/>
      </c>
      <c r="E98" s="40">
        <f>IFERROR(INDEX('macs_ips'!$E$2:$E$403,AGGREGATE(15,6,(ROW('macs_ips'!$A$2:$A$403)-ROW(INDEX('macs_ips'!$A$2:$A$403,1,1))+1)/('macs_ips'!$E$2:$E$403=$J$1),ROW(A96))),"")</f>
        <v/>
      </c>
      <c r="F98" s="41">
        <f>IFERROR(INDEX('macs_ips'!$F$2:$F$403,AGGREGATE(15,6,(ROW('macs_ips'!$A$2:$A$403)-ROW(INDEX('macs_ips'!$A$2:$A$403,1,1))+1)/('macs_ips'!$E$2:$E$403=$J$1),ROW(A96))),"")</f>
        <v/>
      </c>
      <c r="G98" s="40">
        <f>IFERROR(INDEX('macs_ips'!$G$2:$G$403,AGGREGATE(15,6,(ROW('macs_ips'!$A$2:$A$403)-ROW(INDEX('macs_ips'!$A$2:$A$403,1,1))+1)/('macs_ips'!$E$2:$E$403=$J$1),ROW(A96))),"")</f>
        <v/>
      </c>
    </row>
    <row r="99">
      <c r="A99" s="40">
        <f>IFERROR(INDEX('macs_ips'!$A$2:$A$403,AGGREGATE(15,6,(ROW('macs_ips'!$A$2:$A$403)-ROW(INDEX('macs_ips'!$A$2:$A$403,1,1))+1)/('macs_ips'!$E$2:$E$403=$J$1),ROW(A97))),"")</f>
        <v/>
      </c>
      <c r="B99" s="40">
        <f>IFERROR(INDEX('macs_ips'!$B$2:$B$403,AGGREGATE(15,6,(ROW('macs_ips'!$A$2:$A$403)-ROW(INDEX('macs_ips'!$A$2:$A$403,1,1))+1)/('macs_ips'!$E$2:$E$403=$J$1),ROW(A97))),"")</f>
        <v/>
      </c>
      <c r="C99" s="40">
        <f>IFERROR(INDEX('macs_ips'!$C$2:$C$403,AGGREGATE(15,6,(ROW('macs_ips'!$A$2:$A$403)-ROW(INDEX('macs_ips'!$A$2:$A$403,1,1))+1)/('macs_ips'!$E$2:$E$403=$J$1),ROW(A97))),"")</f>
        <v/>
      </c>
      <c r="D99" s="41">
        <f>IFERROR(INDEX('macs_ips'!$D$2:$D$403,AGGREGATE(15,6,(ROW('macs_ips'!$A$2:$A$403)-ROW(INDEX('macs_ips'!$A$2:$A$403,1,1))+1)/('macs_ips'!$E$2:$E$403=$J$1),ROW(A97))),"")</f>
        <v/>
      </c>
      <c r="E99" s="40">
        <f>IFERROR(INDEX('macs_ips'!$E$2:$E$403,AGGREGATE(15,6,(ROW('macs_ips'!$A$2:$A$403)-ROW(INDEX('macs_ips'!$A$2:$A$403,1,1))+1)/('macs_ips'!$E$2:$E$403=$J$1),ROW(A97))),"")</f>
        <v/>
      </c>
      <c r="F99" s="41">
        <f>IFERROR(INDEX('macs_ips'!$F$2:$F$403,AGGREGATE(15,6,(ROW('macs_ips'!$A$2:$A$403)-ROW(INDEX('macs_ips'!$A$2:$A$403,1,1))+1)/('macs_ips'!$E$2:$E$403=$J$1),ROW(A97))),"")</f>
        <v/>
      </c>
      <c r="G99" s="40">
        <f>IFERROR(INDEX('macs_ips'!$G$2:$G$403,AGGREGATE(15,6,(ROW('macs_ips'!$A$2:$A$403)-ROW(INDEX('macs_ips'!$A$2:$A$403,1,1))+1)/('macs_ips'!$E$2:$E$403=$J$1),ROW(A97))),"")</f>
        <v/>
      </c>
    </row>
    <row r="100">
      <c r="A100" s="40">
        <f>IFERROR(INDEX('macs_ips'!$A$2:$A$403,AGGREGATE(15,6,(ROW('macs_ips'!$A$2:$A$403)-ROW(INDEX('macs_ips'!$A$2:$A$403,1,1))+1)/('macs_ips'!$E$2:$E$403=$J$1),ROW(A98))),"")</f>
        <v/>
      </c>
      <c r="B100" s="40">
        <f>IFERROR(INDEX('macs_ips'!$B$2:$B$403,AGGREGATE(15,6,(ROW('macs_ips'!$A$2:$A$403)-ROW(INDEX('macs_ips'!$A$2:$A$403,1,1))+1)/('macs_ips'!$E$2:$E$403=$J$1),ROW(A98))),"")</f>
        <v/>
      </c>
      <c r="C100" s="40">
        <f>IFERROR(INDEX('macs_ips'!$C$2:$C$403,AGGREGATE(15,6,(ROW('macs_ips'!$A$2:$A$403)-ROW(INDEX('macs_ips'!$A$2:$A$403,1,1))+1)/('macs_ips'!$E$2:$E$403=$J$1),ROW(A98))),"")</f>
        <v/>
      </c>
      <c r="D100" s="41">
        <f>IFERROR(INDEX('macs_ips'!$D$2:$D$403,AGGREGATE(15,6,(ROW('macs_ips'!$A$2:$A$403)-ROW(INDEX('macs_ips'!$A$2:$A$403,1,1))+1)/('macs_ips'!$E$2:$E$403=$J$1),ROW(A98))),"")</f>
        <v/>
      </c>
      <c r="E100" s="40">
        <f>IFERROR(INDEX('macs_ips'!$E$2:$E$403,AGGREGATE(15,6,(ROW('macs_ips'!$A$2:$A$403)-ROW(INDEX('macs_ips'!$A$2:$A$403,1,1))+1)/('macs_ips'!$E$2:$E$403=$J$1),ROW(A98))),"")</f>
        <v/>
      </c>
      <c r="F100" s="41">
        <f>IFERROR(INDEX('macs_ips'!$F$2:$F$403,AGGREGATE(15,6,(ROW('macs_ips'!$A$2:$A$403)-ROW(INDEX('macs_ips'!$A$2:$A$403,1,1))+1)/('macs_ips'!$E$2:$E$403=$J$1),ROW(A98))),"")</f>
        <v/>
      </c>
      <c r="G100" s="40">
        <f>IFERROR(INDEX('macs_ips'!$G$2:$G$403,AGGREGATE(15,6,(ROW('macs_ips'!$A$2:$A$403)-ROW(INDEX('macs_ips'!$A$2:$A$403,1,1))+1)/('macs_ips'!$E$2:$E$403=$J$1),ROW(A98))),"")</f>
        <v/>
      </c>
    </row>
    <row r="101">
      <c r="A101" s="40">
        <f>IFERROR(INDEX('macs_ips'!$A$2:$A$403,AGGREGATE(15,6,(ROW('macs_ips'!$A$2:$A$403)-ROW(INDEX('macs_ips'!$A$2:$A$403,1,1))+1)/('macs_ips'!$E$2:$E$403=$J$1),ROW(A99))),"")</f>
        <v/>
      </c>
      <c r="B101" s="40">
        <f>IFERROR(INDEX('macs_ips'!$B$2:$B$403,AGGREGATE(15,6,(ROW('macs_ips'!$A$2:$A$403)-ROW(INDEX('macs_ips'!$A$2:$A$403,1,1))+1)/('macs_ips'!$E$2:$E$403=$J$1),ROW(A99))),"")</f>
        <v/>
      </c>
      <c r="C101" s="40">
        <f>IFERROR(INDEX('macs_ips'!$C$2:$C$403,AGGREGATE(15,6,(ROW('macs_ips'!$A$2:$A$403)-ROW(INDEX('macs_ips'!$A$2:$A$403,1,1))+1)/('macs_ips'!$E$2:$E$403=$J$1),ROW(A99))),"")</f>
        <v/>
      </c>
      <c r="D101" s="41">
        <f>IFERROR(INDEX('macs_ips'!$D$2:$D$403,AGGREGATE(15,6,(ROW('macs_ips'!$A$2:$A$403)-ROW(INDEX('macs_ips'!$A$2:$A$403,1,1))+1)/('macs_ips'!$E$2:$E$403=$J$1),ROW(A99))),"")</f>
        <v/>
      </c>
      <c r="E101" s="40">
        <f>IFERROR(INDEX('macs_ips'!$E$2:$E$403,AGGREGATE(15,6,(ROW('macs_ips'!$A$2:$A$403)-ROW(INDEX('macs_ips'!$A$2:$A$403,1,1))+1)/('macs_ips'!$E$2:$E$403=$J$1),ROW(A99))),"")</f>
        <v/>
      </c>
      <c r="F101" s="41">
        <f>IFERROR(INDEX('macs_ips'!$F$2:$F$403,AGGREGATE(15,6,(ROW('macs_ips'!$A$2:$A$403)-ROW(INDEX('macs_ips'!$A$2:$A$403,1,1))+1)/('macs_ips'!$E$2:$E$403=$J$1),ROW(A99))),"")</f>
        <v/>
      </c>
      <c r="G101" s="40">
        <f>IFERROR(INDEX('macs_ips'!$G$2:$G$403,AGGREGATE(15,6,(ROW('macs_ips'!$A$2:$A$403)-ROW(INDEX('macs_ips'!$A$2:$A$403,1,1))+1)/('macs_ips'!$E$2:$E$403=$J$1),ROW(A99))),"")</f>
        <v/>
      </c>
    </row>
    <row r="102">
      <c r="A102" s="40">
        <f>IFERROR(INDEX('macs_ips'!$A$2:$A$403,AGGREGATE(15,6,(ROW('macs_ips'!$A$2:$A$403)-ROW(INDEX('macs_ips'!$A$2:$A$403,1,1))+1)/('macs_ips'!$E$2:$E$403=$J$1),ROW(A100))),"")</f>
        <v/>
      </c>
      <c r="B102" s="40">
        <f>IFERROR(INDEX('macs_ips'!$B$2:$B$403,AGGREGATE(15,6,(ROW('macs_ips'!$A$2:$A$403)-ROW(INDEX('macs_ips'!$A$2:$A$403,1,1))+1)/('macs_ips'!$E$2:$E$403=$J$1),ROW(A100))),"")</f>
        <v/>
      </c>
      <c r="C102" s="40">
        <f>IFERROR(INDEX('macs_ips'!$C$2:$C$403,AGGREGATE(15,6,(ROW('macs_ips'!$A$2:$A$403)-ROW(INDEX('macs_ips'!$A$2:$A$403,1,1))+1)/('macs_ips'!$E$2:$E$403=$J$1),ROW(A100))),"")</f>
        <v/>
      </c>
      <c r="D102" s="41">
        <f>IFERROR(INDEX('macs_ips'!$D$2:$D$403,AGGREGATE(15,6,(ROW('macs_ips'!$A$2:$A$403)-ROW(INDEX('macs_ips'!$A$2:$A$403,1,1))+1)/('macs_ips'!$E$2:$E$403=$J$1),ROW(A100))),"")</f>
        <v/>
      </c>
      <c r="E102" s="40">
        <f>IFERROR(INDEX('macs_ips'!$E$2:$E$403,AGGREGATE(15,6,(ROW('macs_ips'!$A$2:$A$403)-ROW(INDEX('macs_ips'!$A$2:$A$403,1,1))+1)/('macs_ips'!$E$2:$E$403=$J$1),ROW(A100))),"")</f>
        <v/>
      </c>
      <c r="F102" s="41">
        <f>IFERROR(INDEX('macs_ips'!$F$2:$F$403,AGGREGATE(15,6,(ROW('macs_ips'!$A$2:$A$403)-ROW(INDEX('macs_ips'!$A$2:$A$403,1,1))+1)/('macs_ips'!$E$2:$E$403=$J$1),ROW(A100))),"")</f>
        <v/>
      </c>
      <c r="G102" s="40">
        <f>IFERROR(INDEX('macs_ips'!$G$2:$G$403,AGGREGATE(15,6,(ROW('macs_ips'!$A$2:$A$403)-ROW(INDEX('macs_ips'!$A$2:$A$403,1,1))+1)/('macs_ips'!$E$2:$E$403=$J$1),ROW(A100))),"")</f>
        <v/>
      </c>
    </row>
    <row r="103">
      <c r="A103" s="40">
        <f>IFERROR(INDEX('macs_ips'!$A$2:$A$403,AGGREGATE(15,6,(ROW('macs_ips'!$A$2:$A$403)-ROW(INDEX('macs_ips'!$A$2:$A$403,1,1))+1)/('macs_ips'!$E$2:$E$403=$J$1),ROW(A101))),"")</f>
        <v/>
      </c>
      <c r="B103" s="40">
        <f>IFERROR(INDEX('macs_ips'!$B$2:$B$403,AGGREGATE(15,6,(ROW('macs_ips'!$A$2:$A$403)-ROW(INDEX('macs_ips'!$A$2:$A$403,1,1))+1)/('macs_ips'!$E$2:$E$403=$J$1),ROW(A101))),"")</f>
        <v/>
      </c>
      <c r="C103" s="40">
        <f>IFERROR(INDEX('macs_ips'!$C$2:$C$403,AGGREGATE(15,6,(ROW('macs_ips'!$A$2:$A$403)-ROW(INDEX('macs_ips'!$A$2:$A$403,1,1))+1)/('macs_ips'!$E$2:$E$403=$J$1),ROW(A101))),"")</f>
        <v/>
      </c>
      <c r="D103" s="41">
        <f>IFERROR(INDEX('macs_ips'!$D$2:$D$403,AGGREGATE(15,6,(ROW('macs_ips'!$A$2:$A$403)-ROW(INDEX('macs_ips'!$A$2:$A$403,1,1))+1)/('macs_ips'!$E$2:$E$403=$J$1),ROW(A101))),"")</f>
        <v/>
      </c>
      <c r="E103" s="40">
        <f>IFERROR(INDEX('macs_ips'!$E$2:$E$403,AGGREGATE(15,6,(ROW('macs_ips'!$A$2:$A$403)-ROW(INDEX('macs_ips'!$A$2:$A$403,1,1))+1)/('macs_ips'!$E$2:$E$403=$J$1),ROW(A101))),"")</f>
        <v/>
      </c>
      <c r="F103" s="41">
        <f>IFERROR(INDEX('macs_ips'!$F$2:$F$403,AGGREGATE(15,6,(ROW('macs_ips'!$A$2:$A$403)-ROW(INDEX('macs_ips'!$A$2:$A$403,1,1))+1)/('macs_ips'!$E$2:$E$403=$J$1),ROW(A101))),"")</f>
        <v/>
      </c>
      <c r="G103" s="40">
        <f>IFERROR(INDEX('macs_ips'!$G$2:$G$403,AGGREGATE(15,6,(ROW('macs_ips'!$A$2:$A$403)-ROW(INDEX('macs_ips'!$A$2:$A$403,1,1))+1)/('macs_ips'!$E$2:$E$403=$J$1),ROW(A101))),"")</f>
        <v/>
      </c>
    </row>
    <row r="104">
      <c r="A104" s="40">
        <f>IFERROR(INDEX('macs_ips'!$A$2:$A$403,AGGREGATE(15,6,(ROW('macs_ips'!$A$2:$A$403)-ROW(INDEX('macs_ips'!$A$2:$A$403,1,1))+1)/('macs_ips'!$E$2:$E$403=$J$1),ROW(A102))),"")</f>
        <v/>
      </c>
      <c r="B104" s="40">
        <f>IFERROR(INDEX('macs_ips'!$B$2:$B$403,AGGREGATE(15,6,(ROW('macs_ips'!$A$2:$A$403)-ROW(INDEX('macs_ips'!$A$2:$A$403,1,1))+1)/('macs_ips'!$E$2:$E$403=$J$1),ROW(A102))),"")</f>
        <v/>
      </c>
      <c r="C104" s="40">
        <f>IFERROR(INDEX('macs_ips'!$C$2:$C$403,AGGREGATE(15,6,(ROW('macs_ips'!$A$2:$A$403)-ROW(INDEX('macs_ips'!$A$2:$A$403,1,1))+1)/('macs_ips'!$E$2:$E$403=$J$1),ROW(A102))),"")</f>
        <v/>
      </c>
      <c r="D104" s="41">
        <f>IFERROR(INDEX('macs_ips'!$D$2:$D$403,AGGREGATE(15,6,(ROW('macs_ips'!$A$2:$A$403)-ROW(INDEX('macs_ips'!$A$2:$A$403,1,1))+1)/('macs_ips'!$E$2:$E$403=$J$1),ROW(A102))),"")</f>
        <v/>
      </c>
      <c r="E104" s="40">
        <f>IFERROR(INDEX('macs_ips'!$E$2:$E$403,AGGREGATE(15,6,(ROW('macs_ips'!$A$2:$A$403)-ROW(INDEX('macs_ips'!$A$2:$A$403,1,1))+1)/('macs_ips'!$E$2:$E$403=$J$1),ROW(A102))),"")</f>
        <v/>
      </c>
      <c r="F104" s="41">
        <f>IFERROR(INDEX('macs_ips'!$F$2:$F$403,AGGREGATE(15,6,(ROW('macs_ips'!$A$2:$A$403)-ROW(INDEX('macs_ips'!$A$2:$A$403,1,1))+1)/('macs_ips'!$E$2:$E$403=$J$1),ROW(A102))),"")</f>
        <v/>
      </c>
      <c r="G104" s="40">
        <f>IFERROR(INDEX('macs_ips'!$G$2:$G$403,AGGREGATE(15,6,(ROW('macs_ips'!$A$2:$A$403)-ROW(INDEX('macs_ips'!$A$2:$A$403,1,1))+1)/('macs_ips'!$E$2:$E$403=$J$1),ROW(A102))),"")</f>
        <v/>
      </c>
    </row>
    <row r="105">
      <c r="A105" s="40">
        <f>IFERROR(INDEX('macs_ips'!$A$2:$A$403,AGGREGATE(15,6,(ROW('macs_ips'!$A$2:$A$403)-ROW(INDEX('macs_ips'!$A$2:$A$403,1,1))+1)/('macs_ips'!$E$2:$E$403=$J$1),ROW(A103))),"")</f>
        <v/>
      </c>
      <c r="B105" s="40">
        <f>IFERROR(INDEX('macs_ips'!$B$2:$B$403,AGGREGATE(15,6,(ROW('macs_ips'!$A$2:$A$403)-ROW(INDEX('macs_ips'!$A$2:$A$403,1,1))+1)/('macs_ips'!$E$2:$E$403=$J$1),ROW(A103))),"")</f>
        <v/>
      </c>
      <c r="C105" s="40">
        <f>IFERROR(INDEX('macs_ips'!$C$2:$C$403,AGGREGATE(15,6,(ROW('macs_ips'!$A$2:$A$403)-ROW(INDEX('macs_ips'!$A$2:$A$403,1,1))+1)/('macs_ips'!$E$2:$E$403=$J$1),ROW(A103))),"")</f>
        <v/>
      </c>
      <c r="D105" s="41">
        <f>IFERROR(INDEX('macs_ips'!$D$2:$D$403,AGGREGATE(15,6,(ROW('macs_ips'!$A$2:$A$403)-ROW(INDEX('macs_ips'!$A$2:$A$403,1,1))+1)/('macs_ips'!$E$2:$E$403=$J$1),ROW(A103))),"")</f>
        <v/>
      </c>
      <c r="E105" s="40">
        <f>IFERROR(INDEX('macs_ips'!$E$2:$E$403,AGGREGATE(15,6,(ROW('macs_ips'!$A$2:$A$403)-ROW(INDEX('macs_ips'!$A$2:$A$403,1,1))+1)/('macs_ips'!$E$2:$E$403=$J$1),ROW(A103))),"")</f>
        <v/>
      </c>
      <c r="F105" s="41">
        <f>IFERROR(INDEX('macs_ips'!$F$2:$F$403,AGGREGATE(15,6,(ROW('macs_ips'!$A$2:$A$403)-ROW(INDEX('macs_ips'!$A$2:$A$403,1,1))+1)/('macs_ips'!$E$2:$E$403=$J$1),ROW(A103))),"")</f>
        <v/>
      </c>
      <c r="G105" s="40">
        <f>IFERROR(INDEX('macs_ips'!$G$2:$G$403,AGGREGATE(15,6,(ROW('macs_ips'!$A$2:$A$403)-ROW(INDEX('macs_ips'!$A$2:$A$403,1,1))+1)/('macs_ips'!$E$2:$E$403=$J$1),ROW(A103))),"")</f>
        <v/>
      </c>
    </row>
    <row r="106">
      <c r="A106" s="40">
        <f>IFERROR(INDEX('macs_ips'!$A$2:$A$403,AGGREGATE(15,6,(ROW('macs_ips'!$A$2:$A$403)-ROW(INDEX('macs_ips'!$A$2:$A$403,1,1))+1)/('macs_ips'!$E$2:$E$403=$J$1),ROW(A104))),"")</f>
        <v/>
      </c>
      <c r="B106" s="40">
        <f>IFERROR(INDEX('macs_ips'!$B$2:$B$403,AGGREGATE(15,6,(ROW('macs_ips'!$A$2:$A$403)-ROW(INDEX('macs_ips'!$A$2:$A$403,1,1))+1)/('macs_ips'!$E$2:$E$403=$J$1),ROW(A104))),"")</f>
        <v/>
      </c>
      <c r="C106" s="40">
        <f>IFERROR(INDEX('macs_ips'!$C$2:$C$403,AGGREGATE(15,6,(ROW('macs_ips'!$A$2:$A$403)-ROW(INDEX('macs_ips'!$A$2:$A$403,1,1))+1)/('macs_ips'!$E$2:$E$403=$J$1),ROW(A104))),"")</f>
        <v/>
      </c>
      <c r="D106" s="41">
        <f>IFERROR(INDEX('macs_ips'!$D$2:$D$403,AGGREGATE(15,6,(ROW('macs_ips'!$A$2:$A$403)-ROW(INDEX('macs_ips'!$A$2:$A$403,1,1))+1)/('macs_ips'!$E$2:$E$403=$J$1),ROW(A104))),"")</f>
        <v/>
      </c>
      <c r="E106" s="40">
        <f>IFERROR(INDEX('macs_ips'!$E$2:$E$403,AGGREGATE(15,6,(ROW('macs_ips'!$A$2:$A$403)-ROW(INDEX('macs_ips'!$A$2:$A$403,1,1))+1)/('macs_ips'!$E$2:$E$403=$J$1),ROW(A104))),"")</f>
        <v/>
      </c>
      <c r="F106" s="41">
        <f>IFERROR(INDEX('macs_ips'!$F$2:$F$403,AGGREGATE(15,6,(ROW('macs_ips'!$A$2:$A$403)-ROW(INDEX('macs_ips'!$A$2:$A$403,1,1))+1)/('macs_ips'!$E$2:$E$403=$J$1),ROW(A104))),"")</f>
        <v/>
      </c>
      <c r="G106" s="40">
        <f>IFERROR(INDEX('macs_ips'!$G$2:$G$403,AGGREGATE(15,6,(ROW('macs_ips'!$A$2:$A$403)-ROW(INDEX('macs_ips'!$A$2:$A$403,1,1))+1)/('macs_ips'!$E$2:$E$403=$J$1),ROW(A104))),"")</f>
        <v/>
      </c>
    </row>
    <row r="107">
      <c r="A107" s="40">
        <f>IFERROR(INDEX('macs_ips'!$A$2:$A$403,AGGREGATE(15,6,(ROW('macs_ips'!$A$2:$A$403)-ROW(INDEX('macs_ips'!$A$2:$A$403,1,1))+1)/('macs_ips'!$E$2:$E$403=$J$1),ROW(A105))),"")</f>
        <v/>
      </c>
      <c r="B107" s="40">
        <f>IFERROR(INDEX('macs_ips'!$B$2:$B$403,AGGREGATE(15,6,(ROW('macs_ips'!$A$2:$A$403)-ROW(INDEX('macs_ips'!$A$2:$A$403,1,1))+1)/('macs_ips'!$E$2:$E$403=$J$1),ROW(A105))),"")</f>
        <v/>
      </c>
      <c r="C107" s="40">
        <f>IFERROR(INDEX('macs_ips'!$C$2:$C$403,AGGREGATE(15,6,(ROW('macs_ips'!$A$2:$A$403)-ROW(INDEX('macs_ips'!$A$2:$A$403,1,1))+1)/('macs_ips'!$E$2:$E$403=$J$1),ROW(A105))),"")</f>
        <v/>
      </c>
      <c r="D107" s="41">
        <f>IFERROR(INDEX('macs_ips'!$D$2:$D$403,AGGREGATE(15,6,(ROW('macs_ips'!$A$2:$A$403)-ROW(INDEX('macs_ips'!$A$2:$A$403,1,1))+1)/('macs_ips'!$E$2:$E$403=$J$1),ROW(A105))),"")</f>
        <v/>
      </c>
      <c r="E107" s="40">
        <f>IFERROR(INDEX('macs_ips'!$E$2:$E$403,AGGREGATE(15,6,(ROW('macs_ips'!$A$2:$A$403)-ROW(INDEX('macs_ips'!$A$2:$A$403,1,1))+1)/('macs_ips'!$E$2:$E$403=$J$1),ROW(A105))),"")</f>
        <v/>
      </c>
      <c r="F107" s="41">
        <f>IFERROR(INDEX('macs_ips'!$F$2:$F$403,AGGREGATE(15,6,(ROW('macs_ips'!$A$2:$A$403)-ROW(INDEX('macs_ips'!$A$2:$A$403,1,1))+1)/('macs_ips'!$E$2:$E$403=$J$1),ROW(A105))),"")</f>
        <v/>
      </c>
      <c r="G107" s="40">
        <f>IFERROR(INDEX('macs_ips'!$G$2:$G$403,AGGREGATE(15,6,(ROW('macs_ips'!$A$2:$A$403)-ROW(INDEX('macs_ips'!$A$2:$A$403,1,1))+1)/('macs_ips'!$E$2:$E$403=$J$1),ROW(A105))),"")</f>
        <v/>
      </c>
    </row>
    <row r="108">
      <c r="A108" s="40">
        <f>IFERROR(INDEX('macs_ips'!$A$2:$A$403,AGGREGATE(15,6,(ROW('macs_ips'!$A$2:$A$403)-ROW(INDEX('macs_ips'!$A$2:$A$403,1,1))+1)/('macs_ips'!$E$2:$E$403=$J$1),ROW(A106))),"")</f>
        <v/>
      </c>
      <c r="B108" s="40">
        <f>IFERROR(INDEX('macs_ips'!$B$2:$B$403,AGGREGATE(15,6,(ROW('macs_ips'!$A$2:$A$403)-ROW(INDEX('macs_ips'!$A$2:$A$403,1,1))+1)/('macs_ips'!$E$2:$E$403=$J$1),ROW(A106))),"")</f>
        <v/>
      </c>
      <c r="C108" s="40">
        <f>IFERROR(INDEX('macs_ips'!$C$2:$C$403,AGGREGATE(15,6,(ROW('macs_ips'!$A$2:$A$403)-ROW(INDEX('macs_ips'!$A$2:$A$403,1,1))+1)/('macs_ips'!$E$2:$E$403=$J$1),ROW(A106))),"")</f>
        <v/>
      </c>
      <c r="D108" s="41">
        <f>IFERROR(INDEX('macs_ips'!$D$2:$D$403,AGGREGATE(15,6,(ROW('macs_ips'!$A$2:$A$403)-ROW(INDEX('macs_ips'!$A$2:$A$403,1,1))+1)/('macs_ips'!$E$2:$E$403=$J$1),ROW(A106))),"")</f>
        <v/>
      </c>
      <c r="E108" s="40">
        <f>IFERROR(INDEX('macs_ips'!$E$2:$E$403,AGGREGATE(15,6,(ROW('macs_ips'!$A$2:$A$403)-ROW(INDEX('macs_ips'!$A$2:$A$403,1,1))+1)/('macs_ips'!$E$2:$E$403=$J$1),ROW(A106))),"")</f>
        <v/>
      </c>
      <c r="F108" s="41">
        <f>IFERROR(INDEX('macs_ips'!$F$2:$F$403,AGGREGATE(15,6,(ROW('macs_ips'!$A$2:$A$403)-ROW(INDEX('macs_ips'!$A$2:$A$403,1,1))+1)/('macs_ips'!$E$2:$E$403=$J$1),ROW(A106))),"")</f>
        <v/>
      </c>
      <c r="G108" s="40">
        <f>IFERROR(INDEX('macs_ips'!$G$2:$G$403,AGGREGATE(15,6,(ROW('macs_ips'!$A$2:$A$403)-ROW(INDEX('macs_ips'!$A$2:$A$403,1,1))+1)/('macs_ips'!$E$2:$E$403=$J$1),ROW(A106))),"")</f>
        <v/>
      </c>
    </row>
    <row r="109">
      <c r="A109" s="40">
        <f>IFERROR(INDEX('macs_ips'!$A$2:$A$403,AGGREGATE(15,6,(ROW('macs_ips'!$A$2:$A$403)-ROW(INDEX('macs_ips'!$A$2:$A$403,1,1))+1)/('macs_ips'!$E$2:$E$403=$J$1),ROW(A107))),"")</f>
        <v/>
      </c>
      <c r="B109" s="40">
        <f>IFERROR(INDEX('macs_ips'!$B$2:$B$403,AGGREGATE(15,6,(ROW('macs_ips'!$A$2:$A$403)-ROW(INDEX('macs_ips'!$A$2:$A$403,1,1))+1)/('macs_ips'!$E$2:$E$403=$J$1),ROW(A107))),"")</f>
        <v/>
      </c>
      <c r="C109" s="40">
        <f>IFERROR(INDEX('macs_ips'!$C$2:$C$403,AGGREGATE(15,6,(ROW('macs_ips'!$A$2:$A$403)-ROW(INDEX('macs_ips'!$A$2:$A$403,1,1))+1)/('macs_ips'!$E$2:$E$403=$J$1),ROW(A107))),"")</f>
        <v/>
      </c>
      <c r="D109" s="41">
        <f>IFERROR(INDEX('macs_ips'!$D$2:$D$403,AGGREGATE(15,6,(ROW('macs_ips'!$A$2:$A$403)-ROW(INDEX('macs_ips'!$A$2:$A$403,1,1))+1)/('macs_ips'!$E$2:$E$403=$J$1),ROW(A107))),"")</f>
        <v/>
      </c>
      <c r="E109" s="40">
        <f>IFERROR(INDEX('macs_ips'!$E$2:$E$403,AGGREGATE(15,6,(ROW('macs_ips'!$A$2:$A$403)-ROW(INDEX('macs_ips'!$A$2:$A$403,1,1))+1)/('macs_ips'!$E$2:$E$403=$J$1),ROW(A107))),"")</f>
        <v/>
      </c>
      <c r="F109" s="41">
        <f>IFERROR(INDEX('macs_ips'!$F$2:$F$403,AGGREGATE(15,6,(ROW('macs_ips'!$A$2:$A$403)-ROW(INDEX('macs_ips'!$A$2:$A$403,1,1))+1)/('macs_ips'!$E$2:$E$403=$J$1),ROW(A107))),"")</f>
        <v/>
      </c>
      <c r="G109" s="40">
        <f>IFERROR(INDEX('macs_ips'!$G$2:$G$403,AGGREGATE(15,6,(ROW('macs_ips'!$A$2:$A$403)-ROW(INDEX('macs_ips'!$A$2:$A$403,1,1))+1)/('macs_ips'!$E$2:$E$403=$J$1),ROW(A107))),"")</f>
        <v/>
      </c>
    </row>
    <row r="110">
      <c r="A110" s="40">
        <f>IFERROR(INDEX('macs_ips'!$A$2:$A$403,AGGREGATE(15,6,(ROW('macs_ips'!$A$2:$A$403)-ROW(INDEX('macs_ips'!$A$2:$A$403,1,1))+1)/('macs_ips'!$E$2:$E$403=$J$1),ROW(A108))),"")</f>
        <v/>
      </c>
      <c r="B110" s="40">
        <f>IFERROR(INDEX('macs_ips'!$B$2:$B$403,AGGREGATE(15,6,(ROW('macs_ips'!$A$2:$A$403)-ROW(INDEX('macs_ips'!$A$2:$A$403,1,1))+1)/('macs_ips'!$E$2:$E$403=$J$1),ROW(A108))),"")</f>
        <v/>
      </c>
      <c r="C110" s="40">
        <f>IFERROR(INDEX('macs_ips'!$C$2:$C$403,AGGREGATE(15,6,(ROW('macs_ips'!$A$2:$A$403)-ROW(INDEX('macs_ips'!$A$2:$A$403,1,1))+1)/('macs_ips'!$E$2:$E$403=$J$1),ROW(A108))),"")</f>
        <v/>
      </c>
      <c r="D110" s="41">
        <f>IFERROR(INDEX('macs_ips'!$D$2:$D$403,AGGREGATE(15,6,(ROW('macs_ips'!$A$2:$A$403)-ROW(INDEX('macs_ips'!$A$2:$A$403,1,1))+1)/('macs_ips'!$E$2:$E$403=$J$1),ROW(A108))),"")</f>
        <v/>
      </c>
      <c r="E110" s="40">
        <f>IFERROR(INDEX('macs_ips'!$E$2:$E$403,AGGREGATE(15,6,(ROW('macs_ips'!$A$2:$A$403)-ROW(INDEX('macs_ips'!$A$2:$A$403,1,1))+1)/('macs_ips'!$E$2:$E$403=$J$1),ROW(A108))),"")</f>
        <v/>
      </c>
      <c r="F110" s="41">
        <f>IFERROR(INDEX('macs_ips'!$F$2:$F$403,AGGREGATE(15,6,(ROW('macs_ips'!$A$2:$A$403)-ROW(INDEX('macs_ips'!$A$2:$A$403,1,1))+1)/('macs_ips'!$E$2:$E$403=$J$1),ROW(A108))),"")</f>
        <v/>
      </c>
      <c r="G110" s="40">
        <f>IFERROR(INDEX('macs_ips'!$G$2:$G$403,AGGREGATE(15,6,(ROW('macs_ips'!$A$2:$A$403)-ROW(INDEX('macs_ips'!$A$2:$A$403,1,1))+1)/('macs_ips'!$E$2:$E$403=$J$1),ROW(A108))),"")</f>
        <v/>
      </c>
    </row>
    <row r="111">
      <c r="A111" s="40">
        <f>IFERROR(INDEX('macs_ips'!$A$2:$A$403,AGGREGATE(15,6,(ROW('macs_ips'!$A$2:$A$403)-ROW(INDEX('macs_ips'!$A$2:$A$403,1,1))+1)/('macs_ips'!$E$2:$E$403=$J$1),ROW(A109))),"")</f>
        <v/>
      </c>
      <c r="B111" s="40">
        <f>IFERROR(INDEX('macs_ips'!$B$2:$B$403,AGGREGATE(15,6,(ROW('macs_ips'!$A$2:$A$403)-ROW(INDEX('macs_ips'!$A$2:$A$403,1,1))+1)/('macs_ips'!$E$2:$E$403=$J$1),ROW(A109))),"")</f>
        <v/>
      </c>
      <c r="C111" s="40">
        <f>IFERROR(INDEX('macs_ips'!$C$2:$C$403,AGGREGATE(15,6,(ROW('macs_ips'!$A$2:$A$403)-ROW(INDEX('macs_ips'!$A$2:$A$403,1,1))+1)/('macs_ips'!$E$2:$E$403=$J$1),ROW(A109))),"")</f>
        <v/>
      </c>
      <c r="D111" s="41">
        <f>IFERROR(INDEX('macs_ips'!$D$2:$D$403,AGGREGATE(15,6,(ROW('macs_ips'!$A$2:$A$403)-ROW(INDEX('macs_ips'!$A$2:$A$403,1,1))+1)/('macs_ips'!$E$2:$E$403=$J$1),ROW(A109))),"")</f>
        <v/>
      </c>
      <c r="E111" s="40">
        <f>IFERROR(INDEX('macs_ips'!$E$2:$E$403,AGGREGATE(15,6,(ROW('macs_ips'!$A$2:$A$403)-ROW(INDEX('macs_ips'!$A$2:$A$403,1,1))+1)/('macs_ips'!$E$2:$E$403=$J$1),ROW(A109))),"")</f>
        <v/>
      </c>
      <c r="F111" s="41">
        <f>IFERROR(INDEX('macs_ips'!$F$2:$F$403,AGGREGATE(15,6,(ROW('macs_ips'!$A$2:$A$403)-ROW(INDEX('macs_ips'!$A$2:$A$403,1,1))+1)/('macs_ips'!$E$2:$E$403=$J$1),ROW(A109))),"")</f>
        <v/>
      </c>
      <c r="G111" s="40">
        <f>IFERROR(INDEX('macs_ips'!$G$2:$G$403,AGGREGATE(15,6,(ROW('macs_ips'!$A$2:$A$403)-ROW(INDEX('macs_ips'!$A$2:$A$403,1,1))+1)/('macs_ips'!$E$2:$E$403=$J$1),ROW(A109))),"")</f>
        <v/>
      </c>
    </row>
    <row r="112">
      <c r="A112" s="40">
        <f>IFERROR(INDEX('macs_ips'!$A$2:$A$403,AGGREGATE(15,6,(ROW('macs_ips'!$A$2:$A$403)-ROW(INDEX('macs_ips'!$A$2:$A$403,1,1))+1)/('macs_ips'!$E$2:$E$403=$J$1),ROW(A110))),"")</f>
        <v/>
      </c>
      <c r="B112" s="40">
        <f>IFERROR(INDEX('macs_ips'!$B$2:$B$403,AGGREGATE(15,6,(ROW('macs_ips'!$A$2:$A$403)-ROW(INDEX('macs_ips'!$A$2:$A$403,1,1))+1)/('macs_ips'!$E$2:$E$403=$J$1),ROW(A110))),"")</f>
        <v/>
      </c>
      <c r="C112" s="40">
        <f>IFERROR(INDEX('macs_ips'!$C$2:$C$403,AGGREGATE(15,6,(ROW('macs_ips'!$A$2:$A$403)-ROW(INDEX('macs_ips'!$A$2:$A$403,1,1))+1)/('macs_ips'!$E$2:$E$403=$J$1),ROW(A110))),"")</f>
        <v/>
      </c>
      <c r="D112" s="41">
        <f>IFERROR(INDEX('macs_ips'!$D$2:$D$403,AGGREGATE(15,6,(ROW('macs_ips'!$A$2:$A$403)-ROW(INDEX('macs_ips'!$A$2:$A$403,1,1))+1)/('macs_ips'!$E$2:$E$403=$J$1),ROW(A110))),"")</f>
        <v/>
      </c>
      <c r="E112" s="40">
        <f>IFERROR(INDEX('macs_ips'!$E$2:$E$403,AGGREGATE(15,6,(ROW('macs_ips'!$A$2:$A$403)-ROW(INDEX('macs_ips'!$A$2:$A$403,1,1))+1)/('macs_ips'!$E$2:$E$403=$J$1),ROW(A110))),"")</f>
        <v/>
      </c>
      <c r="F112" s="41">
        <f>IFERROR(INDEX('macs_ips'!$F$2:$F$403,AGGREGATE(15,6,(ROW('macs_ips'!$A$2:$A$403)-ROW(INDEX('macs_ips'!$A$2:$A$403,1,1))+1)/('macs_ips'!$E$2:$E$403=$J$1),ROW(A110))),"")</f>
        <v/>
      </c>
      <c r="G112" s="40">
        <f>IFERROR(INDEX('macs_ips'!$G$2:$G$403,AGGREGATE(15,6,(ROW('macs_ips'!$A$2:$A$403)-ROW(INDEX('macs_ips'!$A$2:$A$403,1,1))+1)/('macs_ips'!$E$2:$E$403=$J$1),ROW(A110))),"")</f>
        <v/>
      </c>
    </row>
    <row r="113">
      <c r="A113" s="40">
        <f>IFERROR(INDEX('macs_ips'!$A$2:$A$403,AGGREGATE(15,6,(ROW('macs_ips'!$A$2:$A$403)-ROW(INDEX('macs_ips'!$A$2:$A$403,1,1))+1)/('macs_ips'!$E$2:$E$403=$J$1),ROW(A111))),"")</f>
        <v/>
      </c>
      <c r="B113" s="40">
        <f>IFERROR(INDEX('macs_ips'!$B$2:$B$403,AGGREGATE(15,6,(ROW('macs_ips'!$A$2:$A$403)-ROW(INDEX('macs_ips'!$A$2:$A$403,1,1))+1)/('macs_ips'!$E$2:$E$403=$J$1),ROW(A111))),"")</f>
        <v/>
      </c>
      <c r="C113" s="40">
        <f>IFERROR(INDEX('macs_ips'!$C$2:$C$403,AGGREGATE(15,6,(ROW('macs_ips'!$A$2:$A$403)-ROW(INDEX('macs_ips'!$A$2:$A$403,1,1))+1)/('macs_ips'!$E$2:$E$403=$J$1),ROW(A111))),"")</f>
        <v/>
      </c>
      <c r="D113" s="41">
        <f>IFERROR(INDEX('macs_ips'!$D$2:$D$403,AGGREGATE(15,6,(ROW('macs_ips'!$A$2:$A$403)-ROW(INDEX('macs_ips'!$A$2:$A$403,1,1))+1)/('macs_ips'!$E$2:$E$403=$J$1),ROW(A111))),"")</f>
        <v/>
      </c>
      <c r="E113" s="40">
        <f>IFERROR(INDEX('macs_ips'!$E$2:$E$403,AGGREGATE(15,6,(ROW('macs_ips'!$A$2:$A$403)-ROW(INDEX('macs_ips'!$A$2:$A$403,1,1))+1)/('macs_ips'!$E$2:$E$403=$J$1),ROW(A111))),"")</f>
        <v/>
      </c>
      <c r="F113" s="41">
        <f>IFERROR(INDEX('macs_ips'!$F$2:$F$403,AGGREGATE(15,6,(ROW('macs_ips'!$A$2:$A$403)-ROW(INDEX('macs_ips'!$A$2:$A$403,1,1))+1)/('macs_ips'!$E$2:$E$403=$J$1),ROW(A111))),"")</f>
        <v/>
      </c>
      <c r="G113" s="40">
        <f>IFERROR(INDEX('macs_ips'!$G$2:$G$403,AGGREGATE(15,6,(ROW('macs_ips'!$A$2:$A$403)-ROW(INDEX('macs_ips'!$A$2:$A$403,1,1))+1)/('macs_ips'!$E$2:$E$403=$J$1),ROW(A111))),"")</f>
        <v/>
      </c>
    </row>
    <row r="114">
      <c r="A114" s="40">
        <f>IFERROR(INDEX('macs_ips'!$A$2:$A$403,AGGREGATE(15,6,(ROW('macs_ips'!$A$2:$A$403)-ROW(INDEX('macs_ips'!$A$2:$A$403,1,1))+1)/('macs_ips'!$E$2:$E$403=$J$1),ROW(A112))),"")</f>
        <v/>
      </c>
      <c r="B114" s="40">
        <f>IFERROR(INDEX('macs_ips'!$B$2:$B$403,AGGREGATE(15,6,(ROW('macs_ips'!$A$2:$A$403)-ROW(INDEX('macs_ips'!$A$2:$A$403,1,1))+1)/('macs_ips'!$E$2:$E$403=$J$1),ROW(A112))),"")</f>
        <v/>
      </c>
      <c r="C114" s="40">
        <f>IFERROR(INDEX('macs_ips'!$C$2:$C$403,AGGREGATE(15,6,(ROW('macs_ips'!$A$2:$A$403)-ROW(INDEX('macs_ips'!$A$2:$A$403,1,1))+1)/('macs_ips'!$E$2:$E$403=$J$1),ROW(A112))),"")</f>
        <v/>
      </c>
      <c r="D114" s="41">
        <f>IFERROR(INDEX('macs_ips'!$D$2:$D$403,AGGREGATE(15,6,(ROW('macs_ips'!$A$2:$A$403)-ROW(INDEX('macs_ips'!$A$2:$A$403,1,1))+1)/('macs_ips'!$E$2:$E$403=$J$1),ROW(A112))),"")</f>
        <v/>
      </c>
      <c r="E114" s="40">
        <f>IFERROR(INDEX('macs_ips'!$E$2:$E$403,AGGREGATE(15,6,(ROW('macs_ips'!$A$2:$A$403)-ROW(INDEX('macs_ips'!$A$2:$A$403,1,1))+1)/('macs_ips'!$E$2:$E$403=$J$1),ROW(A112))),"")</f>
        <v/>
      </c>
      <c r="F114" s="41">
        <f>IFERROR(INDEX('macs_ips'!$F$2:$F$403,AGGREGATE(15,6,(ROW('macs_ips'!$A$2:$A$403)-ROW(INDEX('macs_ips'!$A$2:$A$403,1,1))+1)/('macs_ips'!$E$2:$E$403=$J$1),ROW(A112))),"")</f>
        <v/>
      </c>
      <c r="G114" s="40">
        <f>IFERROR(INDEX('macs_ips'!$G$2:$G$403,AGGREGATE(15,6,(ROW('macs_ips'!$A$2:$A$403)-ROW(INDEX('macs_ips'!$A$2:$A$403,1,1))+1)/('macs_ips'!$E$2:$E$403=$J$1),ROW(A112))),"")</f>
        <v/>
      </c>
    </row>
    <row r="115">
      <c r="A115" s="40">
        <f>IFERROR(INDEX('macs_ips'!$A$2:$A$403,AGGREGATE(15,6,(ROW('macs_ips'!$A$2:$A$403)-ROW(INDEX('macs_ips'!$A$2:$A$403,1,1))+1)/('macs_ips'!$E$2:$E$403=$J$1),ROW(A113))),"")</f>
        <v/>
      </c>
      <c r="B115" s="40">
        <f>IFERROR(INDEX('macs_ips'!$B$2:$B$403,AGGREGATE(15,6,(ROW('macs_ips'!$A$2:$A$403)-ROW(INDEX('macs_ips'!$A$2:$A$403,1,1))+1)/('macs_ips'!$E$2:$E$403=$J$1),ROW(A113))),"")</f>
        <v/>
      </c>
      <c r="C115" s="40">
        <f>IFERROR(INDEX('macs_ips'!$C$2:$C$403,AGGREGATE(15,6,(ROW('macs_ips'!$A$2:$A$403)-ROW(INDEX('macs_ips'!$A$2:$A$403,1,1))+1)/('macs_ips'!$E$2:$E$403=$J$1),ROW(A113))),"")</f>
        <v/>
      </c>
      <c r="D115" s="41">
        <f>IFERROR(INDEX('macs_ips'!$D$2:$D$403,AGGREGATE(15,6,(ROW('macs_ips'!$A$2:$A$403)-ROW(INDEX('macs_ips'!$A$2:$A$403,1,1))+1)/('macs_ips'!$E$2:$E$403=$J$1),ROW(A113))),"")</f>
        <v/>
      </c>
      <c r="E115" s="40">
        <f>IFERROR(INDEX('macs_ips'!$E$2:$E$403,AGGREGATE(15,6,(ROW('macs_ips'!$A$2:$A$403)-ROW(INDEX('macs_ips'!$A$2:$A$403,1,1))+1)/('macs_ips'!$E$2:$E$403=$J$1),ROW(A113))),"")</f>
        <v/>
      </c>
      <c r="F115" s="41">
        <f>IFERROR(INDEX('macs_ips'!$F$2:$F$403,AGGREGATE(15,6,(ROW('macs_ips'!$A$2:$A$403)-ROW(INDEX('macs_ips'!$A$2:$A$403,1,1))+1)/('macs_ips'!$E$2:$E$403=$J$1),ROW(A113))),"")</f>
        <v/>
      </c>
      <c r="G115" s="40">
        <f>IFERROR(INDEX('macs_ips'!$G$2:$G$403,AGGREGATE(15,6,(ROW('macs_ips'!$A$2:$A$403)-ROW(INDEX('macs_ips'!$A$2:$A$403,1,1))+1)/('macs_ips'!$E$2:$E$403=$J$1),ROW(A113))),"")</f>
        <v/>
      </c>
    </row>
    <row r="116">
      <c r="A116" s="40">
        <f>IFERROR(INDEX('macs_ips'!$A$2:$A$403,AGGREGATE(15,6,(ROW('macs_ips'!$A$2:$A$403)-ROW(INDEX('macs_ips'!$A$2:$A$403,1,1))+1)/('macs_ips'!$E$2:$E$403=$J$1),ROW(A114))),"")</f>
        <v/>
      </c>
      <c r="B116" s="40">
        <f>IFERROR(INDEX('macs_ips'!$B$2:$B$403,AGGREGATE(15,6,(ROW('macs_ips'!$A$2:$A$403)-ROW(INDEX('macs_ips'!$A$2:$A$403,1,1))+1)/('macs_ips'!$E$2:$E$403=$J$1),ROW(A114))),"")</f>
        <v/>
      </c>
      <c r="C116" s="40">
        <f>IFERROR(INDEX('macs_ips'!$C$2:$C$403,AGGREGATE(15,6,(ROW('macs_ips'!$A$2:$A$403)-ROW(INDEX('macs_ips'!$A$2:$A$403,1,1))+1)/('macs_ips'!$E$2:$E$403=$J$1),ROW(A114))),"")</f>
        <v/>
      </c>
      <c r="D116" s="41">
        <f>IFERROR(INDEX('macs_ips'!$D$2:$D$403,AGGREGATE(15,6,(ROW('macs_ips'!$A$2:$A$403)-ROW(INDEX('macs_ips'!$A$2:$A$403,1,1))+1)/('macs_ips'!$E$2:$E$403=$J$1),ROW(A114))),"")</f>
        <v/>
      </c>
      <c r="E116" s="40">
        <f>IFERROR(INDEX('macs_ips'!$E$2:$E$403,AGGREGATE(15,6,(ROW('macs_ips'!$A$2:$A$403)-ROW(INDEX('macs_ips'!$A$2:$A$403,1,1))+1)/('macs_ips'!$E$2:$E$403=$J$1),ROW(A114))),"")</f>
        <v/>
      </c>
      <c r="F116" s="41">
        <f>IFERROR(INDEX('macs_ips'!$F$2:$F$403,AGGREGATE(15,6,(ROW('macs_ips'!$A$2:$A$403)-ROW(INDEX('macs_ips'!$A$2:$A$403,1,1))+1)/('macs_ips'!$E$2:$E$403=$J$1),ROW(A114))),"")</f>
        <v/>
      </c>
      <c r="G116" s="40">
        <f>IFERROR(INDEX('macs_ips'!$G$2:$G$403,AGGREGATE(15,6,(ROW('macs_ips'!$A$2:$A$403)-ROW(INDEX('macs_ips'!$A$2:$A$403,1,1))+1)/('macs_ips'!$E$2:$E$403=$J$1),ROW(A114))),"")</f>
        <v/>
      </c>
    </row>
    <row r="117">
      <c r="A117" s="40">
        <f>IFERROR(INDEX('macs_ips'!$A$2:$A$403,AGGREGATE(15,6,(ROW('macs_ips'!$A$2:$A$403)-ROW(INDEX('macs_ips'!$A$2:$A$403,1,1))+1)/('macs_ips'!$E$2:$E$403=$J$1),ROW(A115))),"")</f>
        <v/>
      </c>
      <c r="B117" s="40">
        <f>IFERROR(INDEX('macs_ips'!$B$2:$B$403,AGGREGATE(15,6,(ROW('macs_ips'!$A$2:$A$403)-ROW(INDEX('macs_ips'!$A$2:$A$403,1,1))+1)/('macs_ips'!$E$2:$E$403=$J$1),ROW(A115))),"")</f>
        <v/>
      </c>
      <c r="C117" s="40">
        <f>IFERROR(INDEX('macs_ips'!$C$2:$C$403,AGGREGATE(15,6,(ROW('macs_ips'!$A$2:$A$403)-ROW(INDEX('macs_ips'!$A$2:$A$403,1,1))+1)/('macs_ips'!$E$2:$E$403=$J$1),ROW(A115))),"")</f>
        <v/>
      </c>
      <c r="D117" s="41">
        <f>IFERROR(INDEX('macs_ips'!$D$2:$D$403,AGGREGATE(15,6,(ROW('macs_ips'!$A$2:$A$403)-ROW(INDEX('macs_ips'!$A$2:$A$403,1,1))+1)/('macs_ips'!$E$2:$E$403=$J$1),ROW(A115))),"")</f>
        <v/>
      </c>
      <c r="E117" s="40">
        <f>IFERROR(INDEX('macs_ips'!$E$2:$E$403,AGGREGATE(15,6,(ROW('macs_ips'!$A$2:$A$403)-ROW(INDEX('macs_ips'!$A$2:$A$403,1,1))+1)/('macs_ips'!$E$2:$E$403=$J$1),ROW(A115))),"")</f>
        <v/>
      </c>
      <c r="F117" s="41">
        <f>IFERROR(INDEX('macs_ips'!$F$2:$F$403,AGGREGATE(15,6,(ROW('macs_ips'!$A$2:$A$403)-ROW(INDEX('macs_ips'!$A$2:$A$403,1,1))+1)/('macs_ips'!$E$2:$E$403=$J$1),ROW(A115))),"")</f>
        <v/>
      </c>
      <c r="G117" s="40">
        <f>IFERROR(INDEX('macs_ips'!$G$2:$G$403,AGGREGATE(15,6,(ROW('macs_ips'!$A$2:$A$403)-ROW(INDEX('macs_ips'!$A$2:$A$403,1,1))+1)/('macs_ips'!$E$2:$E$403=$J$1),ROW(A115))),"")</f>
        <v/>
      </c>
    </row>
    <row r="118">
      <c r="A118" s="40">
        <f>IFERROR(INDEX('macs_ips'!$A$2:$A$403,AGGREGATE(15,6,(ROW('macs_ips'!$A$2:$A$403)-ROW(INDEX('macs_ips'!$A$2:$A$403,1,1))+1)/('macs_ips'!$E$2:$E$403=$J$1),ROW(A116))),"")</f>
        <v/>
      </c>
      <c r="B118" s="40">
        <f>IFERROR(INDEX('macs_ips'!$B$2:$B$403,AGGREGATE(15,6,(ROW('macs_ips'!$A$2:$A$403)-ROW(INDEX('macs_ips'!$A$2:$A$403,1,1))+1)/('macs_ips'!$E$2:$E$403=$J$1),ROW(A116))),"")</f>
        <v/>
      </c>
      <c r="C118" s="40">
        <f>IFERROR(INDEX('macs_ips'!$C$2:$C$403,AGGREGATE(15,6,(ROW('macs_ips'!$A$2:$A$403)-ROW(INDEX('macs_ips'!$A$2:$A$403,1,1))+1)/('macs_ips'!$E$2:$E$403=$J$1),ROW(A116))),"")</f>
        <v/>
      </c>
      <c r="D118" s="41">
        <f>IFERROR(INDEX('macs_ips'!$D$2:$D$403,AGGREGATE(15,6,(ROW('macs_ips'!$A$2:$A$403)-ROW(INDEX('macs_ips'!$A$2:$A$403,1,1))+1)/('macs_ips'!$E$2:$E$403=$J$1),ROW(A116))),"")</f>
        <v/>
      </c>
      <c r="E118" s="40">
        <f>IFERROR(INDEX('macs_ips'!$E$2:$E$403,AGGREGATE(15,6,(ROW('macs_ips'!$A$2:$A$403)-ROW(INDEX('macs_ips'!$A$2:$A$403,1,1))+1)/('macs_ips'!$E$2:$E$403=$J$1),ROW(A116))),"")</f>
        <v/>
      </c>
      <c r="F118" s="41">
        <f>IFERROR(INDEX('macs_ips'!$F$2:$F$403,AGGREGATE(15,6,(ROW('macs_ips'!$A$2:$A$403)-ROW(INDEX('macs_ips'!$A$2:$A$403,1,1))+1)/('macs_ips'!$E$2:$E$403=$J$1),ROW(A116))),"")</f>
        <v/>
      </c>
      <c r="G118" s="40">
        <f>IFERROR(INDEX('macs_ips'!$G$2:$G$403,AGGREGATE(15,6,(ROW('macs_ips'!$A$2:$A$403)-ROW(INDEX('macs_ips'!$A$2:$A$403,1,1))+1)/('macs_ips'!$E$2:$E$403=$J$1),ROW(A116))),"")</f>
        <v/>
      </c>
    </row>
    <row r="119">
      <c r="A119" s="40">
        <f>IFERROR(INDEX('macs_ips'!$A$2:$A$403,AGGREGATE(15,6,(ROW('macs_ips'!$A$2:$A$403)-ROW(INDEX('macs_ips'!$A$2:$A$403,1,1))+1)/('macs_ips'!$E$2:$E$403=$J$1),ROW(A117))),"")</f>
        <v/>
      </c>
      <c r="B119" s="40">
        <f>IFERROR(INDEX('macs_ips'!$B$2:$B$403,AGGREGATE(15,6,(ROW('macs_ips'!$A$2:$A$403)-ROW(INDEX('macs_ips'!$A$2:$A$403,1,1))+1)/('macs_ips'!$E$2:$E$403=$J$1),ROW(A117))),"")</f>
        <v/>
      </c>
      <c r="C119" s="40">
        <f>IFERROR(INDEX('macs_ips'!$C$2:$C$403,AGGREGATE(15,6,(ROW('macs_ips'!$A$2:$A$403)-ROW(INDEX('macs_ips'!$A$2:$A$403,1,1))+1)/('macs_ips'!$E$2:$E$403=$J$1),ROW(A117))),"")</f>
        <v/>
      </c>
      <c r="D119" s="41">
        <f>IFERROR(INDEX('macs_ips'!$D$2:$D$403,AGGREGATE(15,6,(ROW('macs_ips'!$A$2:$A$403)-ROW(INDEX('macs_ips'!$A$2:$A$403,1,1))+1)/('macs_ips'!$E$2:$E$403=$J$1),ROW(A117))),"")</f>
        <v/>
      </c>
      <c r="E119" s="40">
        <f>IFERROR(INDEX('macs_ips'!$E$2:$E$403,AGGREGATE(15,6,(ROW('macs_ips'!$A$2:$A$403)-ROW(INDEX('macs_ips'!$A$2:$A$403,1,1))+1)/('macs_ips'!$E$2:$E$403=$J$1),ROW(A117))),"")</f>
        <v/>
      </c>
      <c r="F119" s="41">
        <f>IFERROR(INDEX('macs_ips'!$F$2:$F$403,AGGREGATE(15,6,(ROW('macs_ips'!$A$2:$A$403)-ROW(INDEX('macs_ips'!$A$2:$A$403,1,1))+1)/('macs_ips'!$E$2:$E$403=$J$1),ROW(A117))),"")</f>
        <v/>
      </c>
      <c r="G119" s="40">
        <f>IFERROR(INDEX('macs_ips'!$G$2:$G$403,AGGREGATE(15,6,(ROW('macs_ips'!$A$2:$A$403)-ROW(INDEX('macs_ips'!$A$2:$A$403,1,1))+1)/('macs_ips'!$E$2:$E$403=$J$1),ROW(A117))),"")</f>
        <v/>
      </c>
    </row>
    <row r="120">
      <c r="A120" s="40">
        <f>IFERROR(INDEX('macs_ips'!$A$2:$A$403,AGGREGATE(15,6,(ROW('macs_ips'!$A$2:$A$403)-ROW(INDEX('macs_ips'!$A$2:$A$403,1,1))+1)/('macs_ips'!$E$2:$E$403=$J$1),ROW(A118))),"")</f>
        <v/>
      </c>
      <c r="B120" s="40">
        <f>IFERROR(INDEX('macs_ips'!$B$2:$B$403,AGGREGATE(15,6,(ROW('macs_ips'!$A$2:$A$403)-ROW(INDEX('macs_ips'!$A$2:$A$403,1,1))+1)/('macs_ips'!$E$2:$E$403=$J$1),ROW(A118))),"")</f>
        <v/>
      </c>
      <c r="C120" s="40">
        <f>IFERROR(INDEX('macs_ips'!$C$2:$C$403,AGGREGATE(15,6,(ROW('macs_ips'!$A$2:$A$403)-ROW(INDEX('macs_ips'!$A$2:$A$403,1,1))+1)/('macs_ips'!$E$2:$E$403=$J$1),ROW(A118))),"")</f>
        <v/>
      </c>
      <c r="D120" s="41">
        <f>IFERROR(INDEX('macs_ips'!$D$2:$D$403,AGGREGATE(15,6,(ROW('macs_ips'!$A$2:$A$403)-ROW(INDEX('macs_ips'!$A$2:$A$403,1,1))+1)/('macs_ips'!$E$2:$E$403=$J$1),ROW(A118))),"")</f>
        <v/>
      </c>
      <c r="E120" s="40">
        <f>IFERROR(INDEX('macs_ips'!$E$2:$E$403,AGGREGATE(15,6,(ROW('macs_ips'!$A$2:$A$403)-ROW(INDEX('macs_ips'!$A$2:$A$403,1,1))+1)/('macs_ips'!$E$2:$E$403=$J$1),ROW(A118))),"")</f>
        <v/>
      </c>
      <c r="F120" s="41">
        <f>IFERROR(INDEX('macs_ips'!$F$2:$F$403,AGGREGATE(15,6,(ROW('macs_ips'!$A$2:$A$403)-ROW(INDEX('macs_ips'!$A$2:$A$403,1,1))+1)/('macs_ips'!$E$2:$E$403=$J$1),ROW(A118))),"")</f>
        <v/>
      </c>
      <c r="G120" s="40">
        <f>IFERROR(INDEX('macs_ips'!$G$2:$G$403,AGGREGATE(15,6,(ROW('macs_ips'!$A$2:$A$403)-ROW(INDEX('macs_ips'!$A$2:$A$403,1,1))+1)/('macs_ips'!$E$2:$E$403=$J$1),ROW(A118))),"")</f>
        <v/>
      </c>
    </row>
    <row r="121">
      <c r="A121" s="40">
        <f>IFERROR(INDEX('macs_ips'!$A$2:$A$403,AGGREGATE(15,6,(ROW('macs_ips'!$A$2:$A$403)-ROW(INDEX('macs_ips'!$A$2:$A$403,1,1))+1)/('macs_ips'!$E$2:$E$403=$J$1),ROW(A119))),"")</f>
        <v/>
      </c>
      <c r="B121" s="40">
        <f>IFERROR(INDEX('macs_ips'!$B$2:$B$403,AGGREGATE(15,6,(ROW('macs_ips'!$A$2:$A$403)-ROW(INDEX('macs_ips'!$A$2:$A$403,1,1))+1)/('macs_ips'!$E$2:$E$403=$J$1),ROW(A119))),"")</f>
        <v/>
      </c>
      <c r="C121" s="40">
        <f>IFERROR(INDEX('macs_ips'!$C$2:$C$403,AGGREGATE(15,6,(ROW('macs_ips'!$A$2:$A$403)-ROW(INDEX('macs_ips'!$A$2:$A$403,1,1))+1)/('macs_ips'!$E$2:$E$403=$J$1),ROW(A119))),"")</f>
        <v/>
      </c>
      <c r="D121" s="41">
        <f>IFERROR(INDEX('macs_ips'!$D$2:$D$403,AGGREGATE(15,6,(ROW('macs_ips'!$A$2:$A$403)-ROW(INDEX('macs_ips'!$A$2:$A$403,1,1))+1)/('macs_ips'!$E$2:$E$403=$J$1),ROW(A119))),"")</f>
        <v/>
      </c>
      <c r="E121" s="40">
        <f>IFERROR(INDEX('macs_ips'!$E$2:$E$403,AGGREGATE(15,6,(ROW('macs_ips'!$A$2:$A$403)-ROW(INDEX('macs_ips'!$A$2:$A$403,1,1))+1)/('macs_ips'!$E$2:$E$403=$J$1),ROW(A119))),"")</f>
        <v/>
      </c>
      <c r="F121" s="41">
        <f>IFERROR(INDEX('macs_ips'!$F$2:$F$403,AGGREGATE(15,6,(ROW('macs_ips'!$A$2:$A$403)-ROW(INDEX('macs_ips'!$A$2:$A$403,1,1))+1)/('macs_ips'!$E$2:$E$403=$J$1),ROW(A119))),"")</f>
        <v/>
      </c>
      <c r="G121" s="40">
        <f>IFERROR(INDEX('macs_ips'!$G$2:$G$403,AGGREGATE(15,6,(ROW('macs_ips'!$A$2:$A$403)-ROW(INDEX('macs_ips'!$A$2:$A$403,1,1))+1)/('macs_ips'!$E$2:$E$403=$J$1),ROW(A119))),"")</f>
        <v/>
      </c>
    </row>
    <row r="122">
      <c r="A122" s="40">
        <f>IFERROR(INDEX('macs_ips'!$A$2:$A$403,AGGREGATE(15,6,(ROW('macs_ips'!$A$2:$A$403)-ROW(INDEX('macs_ips'!$A$2:$A$403,1,1))+1)/('macs_ips'!$E$2:$E$403=$J$1),ROW(A120))),"")</f>
        <v/>
      </c>
      <c r="B122" s="40">
        <f>IFERROR(INDEX('macs_ips'!$B$2:$B$403,AGGREGATE(15,6,(ROW('macs_ips'!$A$2:$A$403)-ROW(INDEX('macs_ips'!$A$2:$A$403,1,1))+1)/('macs_ips'!$E$2:$E$403=$J$1),ROW(A120))),"")</f>
        <v/>
      </c>
      <c r="C122" s="40">
        <f>IFERROR(INDEX('macs_ips'!$C$2:$C$403,AGGREGATE(15,6,(ROW('macs_ips'!$A$2:$A$403)-ROW(INDEX('macs_ips'!$A$2:$A$403,1,1))+1)/('macs_ips'!$E$2:$E$403=$J$1),ROW(A120))),"")</f>
        <v/>
      </c>
      <c r="D122" s="41">
        <f>IFERROR(INDEX('macs_ips'!$D$2:$D$403,AGGREGATE(15,6,(ROW('macs_ips'!$A$2:$A$403)-ROW(INDEX('macs_ips'!$A$2:$A$403,1,1))+1)/('macs_ips'!$E$2:$E$403=$J$1),ROW(A120))),"")</f>
        <v/>
      </c>
      <c r="E122" s="40">
        <f>IFERROR(INDEX('macs_ips'!$E$2:$E$403,AGGREGATE(15,6,(ROW('macs_ips'!$A$2:$A$403)-ROW(INDEX('macs_ips'!$A$2:$A$403,1,1))+1)/('macs_ips'!$E$2:$E$403=$J$1),ROW(A120))),"")</f>
        <v/>
      </c>
      <c r="F122" s="41">
        <f>IFERROR(INDEX('macs_ips'!$F$2:$F$403,AGGREGATE(15,6,(ROW('macs_ips'!$A$2:$A$403)-ROW(INDEX('macs_ips'!$A$2:$A$403,1,1))+1)/('macs_ips'!$E$2:$E$403=$J$1),ROW(A120))),"")</f>
        <v/>
      </c>
      <c r="G122" s="40">
        <f>IFERROR(INDEX('macs_ips'!$G$2:$G$403,AGGREGATE(15,6,(ROW('macs_ips'!$A$2:$A$403)-ROW(INDEX('macs_ips'!$A$2:$A$403,1,1))+1)/('macs_ips'!$E$2:$E$403=$J$1),ROW(A120))),"")</f>
        <v/>
      </c>
    </row>
    <row r="123">
      <c r="A123" s="40">
        <f>IFERROR(INDEX('macs_ips'!$A$2:$A$403,AGGREGATE(15,6,(ROW('macs_ips'!$A$2:$A$403)-ROW(INDEX('macs_ips'!$A$2:$A$403,1,1))+1)/('macs_ips'!$E$2:$E$403=$J$1),ROW(A121))),"")</f>
        <v/>
      </c>
      <c r="B123" s="40">
        <f>IFERROR(INDEX('macs_ips'!$B$2:$B$403,AGGREGATE(15,6,(ROW('macs_ips'!$A$2:$A$403)-ROW(INDEX('macs_ips'!$A$2:$A$403,1,1))+1)/('macs_ips'!$E$2:$E$403=$J$1),ROW(A121))),"")</f>
        <v/>
      </c>
      <c r="C123" s="40">
        <f>IFERROR(INDEX('macs_ips'!$C$2:$C$403,AGGREGATE(15,6,(ROW('macs_ips'!$A$2:$A$403)-ROW(INDEX('macs_ips'!$A$2:$A$403,1,1))+1)/('macs_ips'!$E$2:$E$403=$J$1),ROW(A121))),"")</f>
        <v/>
      </c>
      <c r="D123" s="41">
        <f>IFERROR(INDEX('macs_ips'!$D$2:$D$403,AGGREGATE(15,6,(ROW('macs_ips'!$A$2:$A$403)-ROW(INDEX('macs_ips'!$A$2:$A$403,1,1))+1)/('macs_ips'!$E$2:$E$403=$J$1),ROW(A121))),"")</f>
        <v/>
      </c>
      <c r="E123" s="40">
        <f>IFERROR(INDEX('macs_ips'!$E$2:$E$403,AGGREGATE(15,6,(ROW('macs_ips'!$A$2:$A$403)-ROW(INDEX('macs_ips'!$A$2:$A$403,1,1))+1)/('macs_ips'!$E$2:$E$403=$J$1),ROW(A121))),"")</f>
        <v/>
      </c>
      <c r="F123" s="41">
        <f>IFERROR(INDEX('macs_ips'!$F$2:$F$403,AGGREGATE(15,6,(ROW('macs_ips'!$A$2:$A$403)-ROW(INDEX('macs_ips'!$A$2:$A$403,1,1))+1)/('macs_ips'!$E$2:$E$403=$J$1),ROW(A121))),"")</f>
        <v/>
      </c>
      <c r="G123" s="40">
        <f>IFERROR(INDEX('macs_ips'!$G$2:$G$403,AGGREGATE(15,6,(ROW('macs_ips'!$A$2:$A$403)-ROW(INDEX('macs_ips'!$A$2:$A$403,1,1))+1)/('macs_ips'!$E$2:$E$403=$J$1),ROW(A121))),"")</f>
        <v/>
      </c>
    </row>
    <row r="124">
      <c r="A124" s="40">
        <f>IFERROR(INDEX('macs_ips'!$A$2:$A$403,AGGREGATE(15,6,(ROW('macs_ips'!$A$2:$A$403)-ROW(INDEX('macs_ips'!$A$2:$A$403,1,1))+1)/('macs_ips'!$E$2:$E$403=$J$1),ROW(A122))),"")</f>
        <v/>
      </c>
      <c r="B124" s="40">
        <f>IFERROR(INDEX('macs_ips'!$B$2:$B$403,AGGREGATE(15,6,(ROW('macs_ips'!$A$2:$A$403)-ROW(INDEX('macs_ips'!$A$2:$A$403,1,1))+1)/('macs_ips'!$E$2:$E$403=$J$1),ROW(A122))),"")</f>
        <v/>
      </c>
      <c r="C124" s="40">
        <f>IFERROR(INDEX('macs_ips'!$C$2:$C$403,AGGREGATE(15,6,(ROW('macs_ips'!$A$2:$A$403)-ROW(INDEX('macs_ips'!$A$2:$A$403,1,1))+1)/('macs_ips'!$E$2:$E$403=$J$1),ROW(A122))),"")</f>
        <v/>
      </c>
      <c r="D124" s="41">
        <f>IFERROR(INDEX('macs_ips'!$D$2:$D$403,AGGREGATE(15,6,(ROW('macs_ips'!$A$2:$A$403)-ROW(INDEX('macs_ips'!$A$2:$A$403,1,1))+1)/('macs_ips'!$E$2:$E$403=$J$1),ROW(A122))),"")</f>
        <v/>
      </c>
      <c r="E124" s="40">
        <f>IFERROR(INDEX('macs_ips'!$E$2:$E$403,AGGREGATE(15,6,(ROW('macs_ips'!$A$2:$A$403)-ROW(INDEX('macs_ips'!$A$2:$A$403,1,1))+1)/('macs_ips'!$E$2:$E$403=$J$1),ROW(A122))),"")</f>
        <v/>
      </c>
      <c r="F124" s="41">
        <f>IFERROR(INDEX('macs_ips'!$F$2:$F$403,AGGREGATE(15,6,(ROW('macs_ips'!$A$2:$A$403)-ROW(INDEX('macs_ips'!$A$2:$A$403,1,1))+1)/('macs_ips'!$E$2:$E$403=$J$1),ROW(A122))),"")</f>
        <v/>
      </c>
      <c r="G124" s="40">
        <f>IFERROR(INDEX('macs_ips'!$G$2:$G$403,AGGREGATE(15,6,(ROW('macs_ips'!$A$2:$A$403)-ROW(INDEX('macs_ips'!$A$2:$A$403,1,1))+1)/('macs_ips'!$E$2:$E$403=$J$1),ROW(A122))),"")</f>
        <v/>
      </c>
    </row>
    <row r="125">
      <c r="A125" s="40">
        <f>IFERROR(INDEX('macs_ips'!$A$2:$A$403,AGGREGATE(15,6,(ROW('macs_ips'!$A$2:$A$403)-ROW(INDEX('macs_ips'!$A$2:$A$403,1,1))+1)/('macs_ips'!$E$2:$E$403=$J$1),ROW(A123))),"")</f>
        <v/>
      </c>
      <c r="B125" s="40">
        <f>IFERROR(INDEX('macs_ips'!$B$2:$B$403,AGGREGATE(15,6,(ROW('macs_ips'!$A$2:$A$403)-ROW(INDEX('macs_ips'!$A$2:$A$403,1,1))+1)/('macs_ips'!$E$2:$E$403=$J$1),ROW(A123))),"")</f>
        <v/>
      </c>
      <c r="C125" s="40">
        <f>IFERROR(INDEX('macs_ips'!$C$2:$C$403,AGGREGATE(15,6,(ROW('macs_ips'!$A$2:$A$403)-ROW(INDEX('macs_ips'!$A$2:$A$403,1,1))+1)/('macs_ips'!$E$2:$E$403=$J$1),ROW(A123))),"")</f>
        <v/>
      </c>
      <c r="D125" s="41">
        <f>IFERROR(INDEX('macs_ips'!$D$2:$D$403,AGGREGATE(15,6,(ROW('macs_ips'!$A$2:$A$403)-ROW(INDEX('macs_ips'!$A$2:$A$403,1,1))+1)/('macs_ips'!$E$2:$E$403=$J$1),ROW(A123))),"")</f>
        <v/>
      </c>
      <c r="E125" s="40">
        <f>IFERROR(INDEX('macs_ips'!$E$2:$E$403,AGGREGATE(15,6,(ROW('macs_ips'!$A$2:$A$403)-ROW(INDEX('macs_ips'!$A$2:$A$403,1,1))+1)/('macs_ips'!$E$2:$E$403=$J$1),ROW(A123))),"")</f>
        <v/>
      </c>
      <c r="F125" s="41">
        <f>IFERROR(INDEX('macs_ips'!$F$2:$F$403,AGGREGATE(15,6,(ROW('macs_ips'!$A$2:$A$403)-ROW(INDEX('macs_ips'!$A$2:$A$403,1,1))+1)/('macs_ips'!$E$2:$E$403=$J$1),ROW(A123))),"")</f>
        <v/>
      </c>
      <c r="G125" s="40">
        <f>IFERROR(INDEX('macs_ips'!$G$2:$G$403,AGGREGATE(15,6,(ROW('macs_ips'!$A$2:$A$403)-ROW(INDEX('macs_ips'!$A$2:$A$403,1,1))+1)/('macs_ips'!$E$2:$E$403=$J$1),ROW(A123))),"")</f>
        <v/>
      </c>
    </row>
    <row r="126">
      <c r="A126" s="40">
        <f>IFERROR(INDEX('macs_ips'!$A$2:$A$403,AGGREGATE(15,6,(ROW('macs_ips'!$A$2:$A$403)-ROW(INDEX('macs_ips'!$A$2:$A$403,1,1))+1)/('macs_ips'!$E$2:$E$403=$J$1),ROW(A124))),"")</f>
        <v/>
      </c>
      <c r="B126" s="40">
        <f>IFERROR(INDEX('macs_ips'!$B$2:$B$403,AGGREGATE(15,6,(ROW('macs_ips'!$A$2:$A$403)-ROW(INDEX('macs_ips'!$A$2:$A$403,1,1))+1)/('macs_ips'!$E$2:$E$403=$J$1),ROW(A124))),"")</f>
        <v/>
      </c>
      <c r="C126" s="40">
        <f>IFERROR(INDEX('macs_ips'!$C$2:$C$403,AGGREGATE(15,6,(ROW('macs_ips'!$A$2:$A$403)-ROW(INDEX('macs_ips'!$A$2:$A$403,1,1))+1)/('macs_ips'!$E$2:$E$403=$J$1),ROW(A124))),"")</f>
        <v/>
      </c>
      <c r="D126" s="41">
        <f>IFERROR(INDEX('macs_ips'!$D$2:$D$403,AGGREGATE(15,6,(ROW('macs_ips'!$A$2:$A$403)-ROW(INDEX('macs_ips'!$A$2:$A$403,1,1))+1)/('macs_ips'!$E$2:$E$403=$J$1),ROW(A124))),"")</f>
        <v/>
      </c>
      <c r="E126" s="40">
        <f>IFERROR(INDEX('macs_ips'!$E$2:$E$403,AGGREGATE(15,6,(ROW('macs_ips'!$A$2:$A$403)-ROW(INDEX('macs_ips'!$A$2:$A$403,1,1))+1)/('macs_ips'!$E$2:$E$403=$J$1),ROW(A124))),"")</f>
        <v/>
      </c>
      <c r="F126" s="41">
        <f>IFERROR(INDEX('macs_ips'!$F$2:$F$403,AGGREGATE(15,6,(ROW('macs_ips'!$A$2:$A$403)-ROW(INDEX('macs_ips'!$A$2:$A$403,1,1))+1)/('macs_ips'!$E$2:$E$403=$J$1),ROW(A124))),"")</f>
        <v/>
      </c>
      <c r="G126" s="40">
        <f>IFERROR(INDEX('macs_ips'!$G$2:$G$403,AGGREGATE(15,6,(ROW('macs_ips'!$A$2:$A$403)-ROW(INDEX('macs_ips'!$A$2:$A$403,1,1))+1)/('macs_ips'!$E$2:$E$403=$J$1),ROW(A124))),"")</f>
        <v/>
      </c>
    </row>
    <row r="127">
      <c r="A127" s="40">
        <f>IFERROR(INDEX('macs_ips'!$A$2:$A$403,AGGREGATE(15,6,(ROW('macs_ips'!$A$2:$A$403)-ROW(INDEX('macs_ips'!$A$2:$A$403,1,1))+1)/('macs_ips'!$E$2:$E$403=$J$1),ROW(A125))),"")</f>
        <v/>
      </c>
      <c r="B127" s="40">
        <f>IFERROR(INDEX('macs_ips'!$B$2:$B$403,AGGREGATE(15,6,(ROW('macs_ips'!$A$2:$A$403)-ROW(INDEX('macs_ips'!$A$2:$A$403,1,1))+1)/('macs_ips'!$E$2:$E$403=$J$1),ROW(A125))),"")</f>
        <v/>
      </c>
      <c r="C127" s="40">
        <f>IFERROR(INDEX('macs_ips'!$C$2:$C$403,AGGREGATE(15,6,(ROW('macs_ips'!$A$2:$A$403)-ROW(INDEX('macs_ips'!$A$2:$A$403,1,1))+1)/('macs_ips'!$E$2:$E$403=$J$1),ROW(A125))),"")</f>
        <v/>
      </c>
      <c r="D127" s="41">
        <f>IFERROR(INDEX('macs_ips'!$D$2:$D$403,AGGREGATE(15,6,(ROW('macs_ips'!$A$2:$A$403)-ROW(INDEX('macs_ips'!$A$2:$A$403,1,1))+1)/('macs_ips'!$E$2:$E$403=$J$1),ROW(A125))),"")</f>
        <v/>
      </c>
      <c r="E127" s="40">
        <f>IFERROR(INDEX('macs_ips'!$E$2:$E$403,AGGREGATE(15,6,(ROW('macs_ips'!$A$2:$A$403)-ROW(INDEX('macs_ips'!$A$2:$A$403,1,1))+1)/('macs_ips'!$E$2:$E$403=$J$1),ROW(A125))),"")</f>
        <v/>
      </c>
      <c r="F127" s="41">
        <f>IFERROR(INDEX('macs_ips'!$F$2:$F$403,AGGREGATE(15,6,(ROW('macs_ips'!$A$2:$A$403)-ROW(INDEX('macs_ips'!$A$2:$A$403,1,1))+1)/('macs_ips'!$E$2:$E$403=$J$1),ROW(A125))),"")</f>
        <v/>
      </c>
      <c r="G127" s="40">
        <f>IFERROR(INDEX('macs_ips'!$G$2:$G$403,AGGREGATE(15,6,(ROW('macs_ips'!$A$2:$A$403)-ROW(INDEX('macs_ips'!$A$2:$A$403,1,1))+1)/('macs_ips'!$E$2:$E$403=$J$1),ROW(A125))),"")</f>
        <v/>
      </c>
    </row>
    <row r="128">
      <c r="A128" s="40">
        <f>IFERROR(INDEX('macs_ips'!$A$2:$A$403,AGGREGATE(15,6,(ROW('macs_ips'!$A$2:$A$403)-ROW(INDEX('macs_ips'!$A$2:$A$403,1,1))+1)/('macs_ips'!$E$2:$E$403=$J$1),ROW(A126))),"")</f>
        <v/>
      </c>
      <c r="B128" s="40">
        <f>IFERROR(INDEX('macs_ips'!$B$2:$B$403,AGGREGATE(15,6,(ROW('macs_ips'!$A$2:$A$403)-ROW(INDEX('macs_ips'!$A$2:$A$403,1,1))+1)/('macs_ips'!$E$2:$E$403=$J$1),ROW(A126))),"")</f>
        <v/>
      </c>
      <c r="C128" s="40">
        <f>IFERROR(INDEX('macs_ips'!$C$2:$C$403,AGGREGATE(15,6,(ROW('macs_ips'!$A$2:$A$403)-ROW(INDEX('macs_ips'!$A$2:$A$403,1,1))+1)/('macs_ips'!$E$2:$E$403=$J$1),ROW(A126))),"")</f>
        <v/>
      </c>
      <c r="D128" s="41">
        <f>IFERROR(INDEX('macs_ips'!$D$2:$D$403,AGGREGATE(15,6,(ROW('macs_ips'!$A$2:$A$403)-ROW(INDEX('macs_ips'!$A$2:$A$403,1,1))+1)/('macs_ips'!$E$2:$E$403=$J$1),ROW(A126))),"")</f>
        <v/>
      </c>
      <c r="E128" s="40">
        <f>IFERROR(INDEX('macs_ips'!$E$2:$E$403,AGGREGATE(15,6,(ROW('macs_ips'!$A$2:$A$403)-ROW(INDEX('macs_ips'!$A$2:$A$403,1,1))+1)/('macs_ips'!$E$2:$E$403=$J$1),ROW(A126))),"")</f>
        <v/>
      </c>
      <c r="F128" s="41">
        <f>IFERROR(INDEX('macs_ips'!$F$2:$F$403,AGGREGATE(15,6,(ROW('macs_ips'!$A$2:$A$403)-ROW(INDEX('macs_ips'!$A$2:$A$403,1,1))+1)/('macs_ips'!$E$2:$E$403=$J$1),ROW(A126))),"")</f>
        <v/>
      </c>
      <c r="G128" s="40">
        <f>IFERROR(INDEX('macs_ips'!$G$2:$G$403,AGGREGATE(15,6,(ROW('macs_ips'!$A$2:$A$403)-ROW(INDEX('macs_ips'!$A$2:$A$403,1,1))+1)/('macs_ips'!$E$2:$E$403=$J$1),ROW(A126))),"")</f>
        <v/>
      </c>
    </row>
    <row r="129">
      <c r="A129" s="40">
        <f>IFERROR(INDEX('macs_ips'!$A$2:$A$403,AGGREGATE(15,6,(ROW('macs_ips'!$A$2:$A$403)-ROW(INDEX('macs_ips'!$A$2:$A$403,1,1))+1)/('macs_ips'!$E$2:$E$403=$J$1),ROW(A127))),"")</f>
        <v/>
      </c>
      <c r="B129" s="40">
        <f>IFERROR(INDEX('macs_ips'!$B$2:$B$403,AGGREGATE(15,6,(ROW('macs_ips'!$A$2:$A$403)-ROW(INDEX('macs_ips'!$A$2:$A$403,1,1))+1)/('macs_ips'!$E$2:$E$403=$J$1),ROW(A127))),"")</f>
        <v/>
      </c>
      <c r="C129" s="40">
        <f>IFERROR(INDEX('macs_ips'!$C$2:$C$403,AGGREGATE(15,6,(ROW('macs_ips'!$A$2:$A$403)-ROW(INDEX('macs_ips'!$A$2:$A$403,1,1))+1)/('macs_ips'!$E$2:$E$403=$J$1),ROW(A127))),"")</f>
        <v/>
      </c>
      <c r="D129" s="41">
        <f>IFERROR(INDEX('macs_ips'!$D$2:$D$403,AGGREGATE(15,6,(ROW('macs_ips'!$A$2:$A$403)-ROW(INDEX('macs_ips'!$A$2:$A$403,1,1))+1)/('macs_ips'!$E$2:$E$403=$J$1),ROW(A127))),"")</f>
        <v/>
      </c>
      <c r="E129" s="40">
        <f>IFERROR(INDEX('macs_ips'!$E$2:$E$403,AGGREGATE(15,6,(ROW('macs_ips'!$A$2:$A$403)-ROW(INDEX('macs_ips'!$A$2:$A$403,1,1))+1)/('macs_ips'!$E$2:$E$403=$J$1),ROW(A127))),"")</f>
        <v/>
      </c>
      <c r="F129" s="41">
        <f>IFERROR(INDEX('macs_ips'!$F$2:$F$403,AGGREGATE(15,6,(ROW('macs_ips'!$A$2:$A$403)-ROW(INDEX('macs_ips'!$A$2:$A$403,1,1))+1)/('macs_ips'!$E$2:$E$403=$J$1),ROW(A127))),"")</f>
        <v/>
      </c>
      <c r="G129" s="40">
        <f>IFERROR(INDEX('macs_ips'!$G$2:$G$403,AGGREGATE(15,6,(ROW('macs_ips'!$A$2:$A$403)-ROW(INDEX('macs_ips'!$A$2:$A$403,1,1))+1)/('macs_ips'!$E$2:$E$403=$J$1),ROW(A127))),"")</f>
        <v/>
      </c>
    </row>
    <row r="130">
      <c r="A130" s="40">
        <f>IFERROR(INDEX('macs_ips'!$A$2:$A$403,AGGREGATE(15,6,(ROW('macs_ips'!$A$2:$A$403)-ROW(INDEX('macs_ips'!$A$2:$A$403,1,1))+1)/('macs_ips'!$E$2:$E$403=$J$1),ROW(A128))),"")</f>
        <v/>
      </c>
      <c r="B130" s="40">
        <f>IFERROR(INDEX('macs_ips'!$B$2:$B$403,AGGREGATE(15,6,(ROW('macs_ips'!$A$2:$A$403)-ROW(INDEX('macs_ips'!$A$2:$A$403,1,1))+1)/('macs_ips'!$E$2:$E$403=$J$1),ROW(A128))),"")</f>
        <v/>
      </c>
      <c r="C130" s="40">
        <f>IFERROR(INDEX('macs_ips'!$C$2:$C$403,AGGREGATE(15,6,(ROW('macs_ips'!$A$2:$A$403)-ROW(INDEX('macs_ips'!$A$2:$A$403,1,1))+1)/('macs_ips'!$E$2:$E$403=$J$1),ROW(A128))),"")</f>
        <v/>
      </c>
      <c r="D130" s="41">
        <f>IFERROR(INDEX('macs_ips'!$D$2:$D$403,AGGREGATE(15,6,(ROW('macs_ips'!$A$2:$A$403)-ROW(INDEX('macs_ips'!$A$2:$A$403,1,1))+1)/('macs_ips'!$E$2:$E$403=$J$1),ROW(A128))),"")</f>
        <v/>
      </c>
      <c r="E130" s="40">
        <f>IFERROR(INDEX('macs_ips'!$E$2:$E$403,AGGREGATE(15,6,(ROW('macs_ips'!$A$2:$A$403)-ROW(INDEX('macs_ips'!$A$2:$A$403,1,1))+1)/('macs_ips'!$E$2:$E$403=$J$1),ROW(A128))),"")</f>
        <v/>
      </c>
      <c r="F130" s="41">
        <f>IFERROR(INDEX('macs_ips'!$F$2:$F$403,AGGREGATE(15,6,(ROW('macs_ips'!$A$2:$A$403)-ROW(INDEX('macs_ips'!$A$2:$A$403,1,1))+1)/('macs_ips'!$E$2:$E$403=$J$1),ROW(A128))),"")</f>
        <v/>
      </c>
      <c r="G130" s="40">
        <f>IFERROR(INDEX('macs_ips'!$G$2:$G$403,AGGREGATE(15,6,(ROW('macs_ips'!$A$2:$A$403)-ROW(INDEX('macs_ips'!$A$2:$A$403,1,1))+1)/('macs_ips'!$E$2:$E$403=$J$1),ROW(A128))),"")</f>
        <v/>
      </c>
    </row>
    <row r="131">
      <c r="A131" s="40">
        <f>IFERROR(INDEX('macs_ips'!$A$2:$A$403,AGGREGATE(15,6,(ROW('macs_ips'!$A$2:$A$403)-ROW(INDEX('macs_ips'!$A$2:$A$403,1,1))+1)/('macs_ips'!$E$2:$E$403=$J$1),ROW(A129))),"")</f>
        <v/>
      </c>
      <c r="B131" s="40">
        <f>IFERROR(INDEX('macs_ips'!$B$2:$B$403,AGGREGATE(15,6,(ROW('macs_ips'!$A$2:$A$403)-ROW(INDEX('macs_ips'!$A$2:$A$403,1,1))+1)/('macs_ips'!$E$2:$E$403=$J$1),ROW(A129))),"")</f>
        <v/>
      </c>
      <c r="C131" s="40">
        <f>IFERROR(INDEX('macs_ips'!$C$2:$C$403,AGGREGATE(15,6,(ROW('macs_ips'!$A$2:$A$403)-ROW(INDEX('macs_ips'!$A$2:$A$403,1,1))+1)/('macs_ips'!$E$2:$E$403=$J$1),ROW(A129))),"")</f>
        <v/>
      </c>
      <c r="D131" s="41">
        <f>IFERROR(INDEX('macs_ips'!$D$2:$D$403,AGGREGATE(15,6,(ROW('macs_ips'!$A$2:$A$403)-ROW(INDEX('macs_ips'!$A$2:$A$403,1,1))+1)/('macs_ips'!$E$2:$E$403=$J$1),ROW(A129))),"")</f>
        <v/>
      </c>
      <c r="E131" s="40">
        <f>IFERROR(INDEX('macs_ips'!$E$2:$E$403,AGGREGATE(15,6,(ROW('macs_ips'!$A$2:$A$403)-ROW(INDEX('macs_ips'!$A$2:$A$403,1,1))+1)/('macs_ips'!$E$2:$E$403=$J$1),ROW(A129))),"")</f>
        <v/>
      </c>
      <c r="F131" s="41">
        <f>IFERROR(INDEX('macs_ips'!$F$2:$F$403,AGGREGATE(15,6,(ROW('macs_ips'!$A$2:$A$403)-ROW(INDEX('macs_ips'!$A$2:$A$403,1,1))+1)/('macs_ips'!$E$2:$E$403=$J$1),ROW(A129))),"")</f>
        <v/>
      </c>
      <c r="G131" s="40">
        <f>IFERROR(INDEX('macs_ips'!$G$2:$G$403,AGGREGATE(15,6,(ROW('macs_ips'!$A$2:$A$403)-ROW(INDEX('macs_ips'!$A$2:$A$403,1,1))+1)/('macs_ips'!$E$2:$E$403=$J$1),ROW(A129))),"")</f>
        <v/>
      </c>
    </row>
    <row r="132">
      <c r="A132" s="40">
        <f>IFERROR(INDEX('macs_ips'!$A$2:$A$403,AGGREGATE(15,6,(ROW('macs_ips'!$A$2:$A$403)-ROW(INDEX('macs_ips'!$A$2:$A$403,1,1))+1)/('macs_ips'!$E$2:$E$403=$J$1),ROW(A130))),"")</f>
        <v/>
      </c>
      <c r="B132" s="40">
        <f>IFERROR(INDEX('macs_ips'!$B$2:$B$403,AGGREGATE(15,6,(ROW('macs_ips'!$A$2:$A$403)-ROW(INDEX('macs_ips'!$A$2:$A$403,1,1))+1)/('macs_ips'!$E$2:$E$403=$J$1),ROW(A130))),"")</f>
        <v/>
      </c>
      <c r="C132" s="40">
        <f>IFERROR(INDEX('macs_ips'!$C$2:$C$403,AGGREGATE(15,6,(ROW('macs_ips'!$A$2:$A$403)-ROW(INDEX('macs_ips'!$A$2:$A$403,1,1))+1)/('macs_ips'!$E$2:$E$403=$J$1),ROW(A130))),"")</f>
        <v/>
      </c>
      <c r="D132" s="41">
        <f>IFERROR(INDEX('macs_ips'!$D$2:$D$403,AGGREGATE(15,6,(ROW('macs_ips'!$A$2:$A$403)-ROW(INDEX('macs_ips'!$A$2:$A$403,1,1))+1)/('macs_ips'!$E$2:$E$403=$J$1),ROW(A130))),"")</f>
        <v/>
      </c>
      <c r="E132" s="40">
        <f>IFERROR(INDEX('macs_ips'!$E$2:$E$403,AGGREGATE(15,6,(ROW('macs_ips'!$A$2:$A$403)-ROW(INDEX('macs_ips'!$A$2:$A$403,1,1))+1)/('macs_ips'!$E$2:$E$403=$J$1),ROW(A130))),"")</f>
        <v/>
      </c>
      <c r="F132" s="41">
        <f>IFERROR(INDEX('macs_ips'!$F$2:$F$403,AGGREGATE(15,6,(ROW('macs_ips'!$A$2:$A$403)-ROW(INDEX('macs_ips'!$A$2:$A$403,1,1))+1)/('macs_ips'!$E$2:$E$403=$J$1),ROW(A130))),"")</f>
        <v/>
      </c>
      <c r="G132" s="40">
        <f>IFERROR(INDEX('macs_ips'!$G$2:$G$403,AGGREGATE(15,6,(ROW('macs_ips'!$A$2:$A$403)-ROW(INDEX('macs_ips'!$A$2:$A$403,1,1))+1)/('macs_ips'!$E$2:$E$403=$J$1),ROW(A130))),"")</f>
        <v/>
      </c>
    </row>
    <row r="133">
      <c r="A133" s="40">
        <f>IFERROR(INDEX('macs_ips'!$A$2:$A$403,AGGREGATE(15,6,(ROW('macs_ips'!$A$2:$A$403)-ROW(INDEX('macs_ips'!$A$2:$A$403,1,1))+1)/('macs_ips'!$E$2:$E$403=$J$1),ROW(A131))),"")</f>
        <v/>
      </c>
      <c r="B133" s="40">
        <f>IFERROR(INDEX('macs_ips'!$B$2:$B$403,AGGREGATE(15,6,(ROW('macs_ips'!$A$2:$A$403)-ROW(INDEX('macs_ips'!$A$2:$A$403,1,1))+1)/('macs_ips'!$E$2:$E$403=$J$1),ROW(A131))),"")</f>
        <v/>
      </c>
      <c r="C133" s="40">
        <f>IFERROR(INDEX('macs_ips'!$C$2:$C$403,AGGREGATE(15,6,(ROW('macs_ips'!$A$2:$A$403)-ROW(INDEX('macs_ips'!$A$2:$A$403,1,1))+1)/('macs_ips'!$E$2:$E$403=$J$1),ROW(A131))),"")</f>
        <v/>
      </c>
      <c r="D133" s="41">
        <f>IFERROR(INDEX('macs_ips'!$D$2:$D$403,AGGREGATE(15,6,(ROW('macs_ips'!$A$2:$A$403)-ROW(INDEX('macs_ips'!$A$2:$A$403,1,1))+1)/('macs_ips'!$E$2:$E$403=$J$1),ROW(A131))),"")</f>
        <v/>
      </c>
      <c r="E133" s="40">
        <f>IFERROR(INDEX('macs_ips'!$E$2:$E$403,AGGREGATE(15,6,(ROW('macs_ips'!$A$2:$A$403)-ROW(INDEX('macs_ips'!$A$2:$A$403,1,1))+1)/('macs_ips'!$E$2:$E$403=$J$1),ROW(A131))),"")</f>
        <v/>
      </c>
      <c r="F133" s="41">
        <f>IFERROR(INDEX('macs_ips'!$F$2:$F$403,AGGREGATE(15,6,(ROW('macs_ips'!$A$2:$A$403)-ROW(INDEX('macs_ips'!$A$2:$A$403,1,1))+1)/('macs_ips'!$E$2:$E$403=$J$1),ROW(A131))),"")</f>
        <v/>
      </c>
      <c r="G133" s="40">
        <f>IFERROR(INDEX('macs_ips'!$G$2:$G$403,AGGREGATE(15,6,(ROW('macs_ips'!$A$2:$A$403)-ROW(INDEX('macs_ips'!$A$2:$A$403,1,1))+1)/('macs_ips'!$E$2:$E$403=$J$1),ROW(A131))),"")</f>
        <v/>
      </c>
    </row>
    <row r="134">
      <c r="A134" s="40">
        <f>IFERROR(INDEX('macs_ips'!$A$2:$A$403,AGGREGATE(15,6,(ROW('macs_ips'!$A$2:$A$403)-ROW(INDEX('macs_ips'!$A$2:$A$403,1,1))+1)/('macs_ips'!$E$2:$E$403=$J$1),ROW(A132))),"")</f>
        <v/>
      </c>
      <c r="B134" s="40">
        <f>IFERROR(INDEX('macs_ips'!$B$2:$B$403,AGGREGATE(15,6,(ROW('macs_ips'!$A$2:$A$403)-ROW(INDEX('macs_ips'!$A$2:$A$403,1,1))+1)/('macs_ips'!$E$2:$E$403=$J$1),ROW(A132))),"")</f>
        <v/>
      </c>
      <c r="C134" s="40">
        <f>IFERROR(INDEX('macs_ips'!$C$2:$C$403,AGGREGATE(15,6,(ROW('macs_ips'!$A$2:$A$403)-ROW(INDEX('macs_ips'!$A$2:$A$403,1,1))+1)/('macs_ips'!$E$2:$E$403=$J$1),ROW(A132))),"")</f>
        <v/>
      </c>
      <c r="D134" s="41">
        <f>IFERROR(INDEX('macs_ips'!$D$2:$D$403,AGGREGATE(15,6,(ROW('macs_ips'!$A$2:$A$403)-ROW(INDEX('macs_ips'!$A$2:$A$403,1,1))+1)/('macs_ips'!$E$2:$E$403=$J$1),ROW(A132))),"")</f>
        <v/>
      </c>
      <c r="E134" s="40">
        <f>IFERROR(INDEX('macs_ips'!$E$2:$E$403,AGGREGATE(15,6,(ROW('macs_ips'!$A$2:$A$403)-ROW(INDEX('macs_ips'!$A$2:$A$403,1,1))+1)/('macs_ips'!$E$2:$E$403=$J$1),ROW(A132))),"")</f>
        <v/>
      </c>
      <c r="F134" s="41">
        <f>IFERROR(INDEX('macs_ips'!$F$2:$F$403,AGGREGATE(15,6,(ROW('macs_ips'!$A$2:$A$403)-ROW(INDEX('macs_ips'!$A$2:$A$403,1,1))+1)/('macs_ips'!$E$2:$E$403=$J$1),ROW(A132))),"")</f>
        <v/>
      </c>
      <c r="G134" s="40">
        <f>IFERROR(INDEX('macs_ips'!$G$2:$G$403,AGGREGATE(15,6,(ROW('macs_ips'!$A$2:$A$403)-ROW(INDEX('macs_ips'!$A$2:$A$403,1,1))+1)/('macs_ips'!$E$2:$E$403=$J$1),ROW(A132))),"")</f>
        <v/>
      </c>
    </row>
    <row r="135">
      <c r="A135" s="40">
        <f>IFERROR(INDEX('macs_ips'!$A$2:$A$403,AGGREGATE(15,6,(ROW('macs_ips'!$A$2:$A$403)-ROW(INDEX('macs_ips'!$A$2:$A$403,1,1))+1)/('macs_ips'!$E$2:$E$403=$J$1),ROW(A133))),"")</f>
        <v/>
      </c>
      <c r="B135" s="40">
        <f>IFERROR(INDEX('macs_ips'!$B$2:$B$403,AGGREGATE(15,6,(ROW('macs_ips'!$A$2:$A$403)-ROW(INDEX('macs_ips'!$A$2:$A$403,1,1))+1)/('macs_ips'!$E$2:$E$403=$J$1),ROW(A133))),"")</f>
        <v/>
      </c>
      <c r="C135" s="40">
        <f>IFERROR(INDEX('macs_ips'!$C$2:$C$403,AGGREGATE(15,6,(ROW('macs_ips'!$A$2:$A$403)-ROW(INDEX('macs_ips'!$A$2:$A$403,1,1))+1)/('macs_ips'!$E$2:$E$403=$J$1),ROW(A133))),"")</f>
        <v/>
      </c>
      <c r="D135" s="41">
        <f>IFERROR(INDEX('macs_ips'!$D$2:$D$403,AGGREGATE(15,6,(ROW('macs_ips'!$A$2:$A$403)-ROW(INDEX('macs_ips'!$A$2:$A$403,1,1))+1)/('macs_ips'!$E$2:$E$403=$J$1),ROW(A133))),"")</f>
        <v/>
      </c>
      <c r="E135" s="40">
        <f>IFERROR(INDEX('macs_ips'!$E$2:$E$403,AGGREGATE(15,6,(ROW('macs_ips'!$A$2:$A$403)-ROW(INDEX('macs_ips'!$A$2:$A$403,1,1))+1)/('macs_ips'!$E$2:$E$403=$J$1),ROW(A133))),"")</f>
        <v/>
      </c>
      <c r="F135" s="41">
        <f>IFERROR(INDEX('macs_ips'!$F$2:$F$403,AGGREGATE(15,6,(ROW('macs_ips'!$A$2:$A$403)-ROW(INDEX('macs_ips'!$A$2:$A$403,1,1))+1)/('macs_ips'!$E$2:$E$403=$J$1),ROW(A133))),"")</f>
        <v/>
      </c>
      <c r="G135" s="40">
        <f>IFERROR(INDEX('macs_ips'!$G$2:$G$403,AGGREGATE(15,6,(ROW('macs_ips'!$A$2:$A$403)-ROW(INDEX('macs_ips'!$A$2:$A$403,1,1))+1)/('macs_ips'!$E$2:$E$403=$J$1),ROW(A133))),"")</f>
        <v/>
      </c>
    </row>
    <row r="136">
      <c r="A136" s="40">
        <f>IFERROR(INDEX('macs_ips'!$A$2:$A$403,AGGREGATE(15,6,(ROW('macs_ips'!$A$2:$A$403)-ROW(INDEX('macs_ips'!$A$2:$A$403,1,1))+1)/('macs_ips'!$E$2:$E$403=$J$1),ROW(A134))),"")</f>
        <v/>
      </c>
      <c r="B136" s="40">
        <f>IFERROR(INDEX('macs_ips'!$B$2:$B$403,AGGREGATE(15,6,(ROW('macs_ips'!$A$2:$A$403)-ROW(INDEX('macs_ips'!$A$2:$A$403,1,1))+1)/('macs_ips'!$E$2:$E$403=$J$1),ROW(A134))),"")</f>
        <v/>
      </c>
      <c r="C136" s="40">
        <f>IFERROR(INDEX('macs_ips'!$C$2:$C$403,AGGREGATE(15,6,(ROW('macs_ips'!$A$2:$A$403)-ROW(INDEX('macs_ips'!$A$2:$A$403,1,1))+1)/('macs_ips'!$E$2:$E$403=$J$1),ROW(A134))),"")</f>
        <v/>
      </c>
      <c r="D136" s="41">
        <f>IFERROR(INDEX('macs_ips'!$D$2:$D$403,AGGREGATE(15,6,(ROW('macs_ips'!$A$2:$A$403)-ROW(INDEX('macs_ips'!$A$2:$A$403,1,1))+1)/('macs_ips'!$E$2:$E$403=$J$1),ROW(A134))),"")</f>
        <v/>
      </c>
      <c r="E136" s="40">
        <f>IFERROR(INDEX('macs_ips'!$E$2:$E$403,AGGREGATE(15,6,(ROW('macs_ips'!$A$2:$A$403)-ROW(INDEX('macs_ips'!$A$2:$A$403,1,1))+1)/('macs_ips'!$E$2:$E$403=$J$1),ROW(A134))),"")</f>
        <v/>
      </c>
      <c r="F136" s="41">
        <f>IFERROR(INDEX('macs_ips'!$F$2:$F$403,AGGREGATE(15,6,(ROW('macs_ips'!$A$2:$A$403)-ROW(INDEX('macs_ips'!$A$2:$A$403,1,1))+1)/('macs_ips'!$E$2:$E$403=$J$1),ROW(A134))),"")</f>
        <v/>
      </c>
      <c r="G136" s="40">
        <f>IFERROR(INDEX('macs_ips'!$G$2:$G$403,AGGREGATE(15,6,(ROW('macs_ips'!$A$2:$A$403)-ROW(INDEX('macs_ips'!$A$2:$A$403,1,1))+1)/('macs_ips'!$E$2:$E$403=$J$1),ROW(A134))),"")</f>
        <v/>
      </c>
    </row>
    <row r="137">
      <c r="A137" s="40">
        <f>IFERROR(INDEX('macs_ips'!$A$2:$A$403,AGGREGATE(15,6,(ROW('macs_ips'!$A$2:$A$403)-ROW(INDEX('macs_ips'!$A$2:$A$403,1,1))+1)/('macs_ips'!$E$2:$E$403=$J$1),ROW(A135))),"")</f>
        <v/>
      </c>
      <c r="B137" s="40">
        <f>IFERROR(INDEX('macs_ips'!$B$2:$B$403,AGGREGATE(15,6,(ROW('macs_ips'!$A$2:$A$403)-ROW(INDEX('macs_ips'!$A$2:$A$403,1,1))+1)/('macs_ips'!$E$2:$E$403=$J$1),ROW(A135))),"")</f>
        <v/>
      </c>
      <c r="C137" s="40">
        <f>IFERROR(INDEX('macs_ips'!$C$2:$C$403,AGGREGATE(15,6,(ROW('macs_ips'!$A$2:$A$403)-ROW(INDEX('macs_ips'!$A$2:$A$403,1,1))+1)/('macs_ips'!$E$2:$E$403=$J$1),ROW(A135))),"")</f>
        <v/>
      </c>
      <c r="D137" s="41">
        <f>IFERROR(INDEX('macs_ips'!$D$2:$D$403,AGGREGATE(15,6,(ROW('macs_ips'!$A$2:$A$403)-ROW(INDEX('macs_ips'!$A$2:$A$403,1,1))+1)/('macs_ips'!$E$2:$E$403=$J$1),ROW(A135))),"")</f>
        <v/>
      </c>
      <c r="E137" s="40">
        <f>IFERROR(INDEX('macs_ips'!$E$2:$E$403,AGGREGATE(15,6,(ROW('macs_ips'!$A$2:$A$403)-ROW(INDEX('macs_ips'!$A$2:$A$403,1,1))+1)/('macs_ips'!$E$2:$E$403=$J$1),ROW(A135))),"")</f>
        <v/>
      </c>
      <c r="F137" s="41">
        <f>IFERROR(INDEX('macs_ips'!$F$2:$F$403,AGGREGATE(15,6,(ROW('macs_ips'!$A$2:$A$403)-ROW(INDEX('macs_ips'!$A$2:$A$403,1,1))+1)/('macs_ips'!$E$2:$E$403=$J$1),ROW(A135))),"")</f>
        <v/>
      </c>
      <c r="G137" s="40">
        <f>IFERROR(INDEX('macs_ips'!$G$2:$G$403,AGGREGATE(15,6,(ROW('macs_ips'!$A$2:$A$403)-ROW(INDEX('macs_ips'!$A$2:$A$403,1,1))+1)/('macs_ips'!$E$2:$E$403=$J$1),ROW(A135))),"")</f>
        <v/>
      </c>
    </row>
    <row r="138">
      <c r="A138" s="40">
        <f>IFERROR(INDEX('macs_ips'!$A$2:$A$403,AGGREGATE(15,6,(ROW('macs_ips'!$A$2:$A$403)-ROW(INDEX('macs_ips'!$A$2:$A$403,1,1))+1)/('macs_ips'!$E$2:$E$403=$J$1),ROW(A136))),"")</f>
        <v/>
      </c>
      <c r="B138" s="40">
        <f>IFERROR(INDEX('macs_ips'!$B$2:$B$403,AGGREGATE(15,6,(ROW('macs_ips'!$A$2:$A$403)-ROW(INDEX('macs_ips'!$A$2:$A$403,1,1))+1)/('macs_ips'!$E$2:$E$403=$J$1),ROW(A136))),"")</f>
        <v/>
      </c>
      <c r="C138" s="40">
        <f>IFERROR(INDEX('macs_ips'!$C$2:$C$403,AGGREGATE(15,6,(ROW('macs_ips'!$A$2:$A$403)-ROW(INDEX('macs_ips'!$A$2:$A$403,1,1))+1)/('macs_ips'!$E$2:$E$403=$J$1),ROW(A136))),"")</f>
        <v/>
      </c>
      <c r="D138" s="41">
        <f>IFERROR(INDEX('macs_ips'!$D$2:$D$403,AGGREGATE(15,6,(ROW('macs_ips'!$A$2:$A$403)-ROW(INDEX('macs_ips'!$A$2:$A$403,1,1))+1)/('macs_ips'!$E$2:$E$403=$J$1),ROW(A136))),"")</f>
        <v/>
      </c>
      <c r="E138" s="40">
        <f>IFERROR(INDEX('macs_ips'!$E$2:$E$403,AGGREGATE(15,6,(ROW('macs_ips'!$A$2:$A$403)-ROW(INDEX('macs_ips'!$A$2:$A$403,1,1))+1)/('macs_ips'!$E$2:$E$403=$J$1),ROW(A136))),"")</f>
        <v/>
      </c>
      <c r="F138" s="41">
        <f>IFERROR(INDEX('macs_ips'!$F$2:$F$403,AGGREGATE(15,6,(ROW('macs_ips'!$A$2:$A$403)-ROW(INDEX('macs_ips'!$A$2:$A$403,1,1))+1)/('macs_ips'!$E$2:$E$403=$J$1),ROW(A136))),"")</f>
        <v/>
      </c>
      <c r="G138" s="40">
        <f>IFERROR(INDEX('macs_ips'!$G$2:$G$403,AGGREGATE(15,6,(ROW('macs_ips'!$A$2:$A$403)-ROW(INDEX('macs_ips'!$A$2:$A$403,1,1))+1)/('macs_ips'!$E$2:$E$403=$J$1),ROW(A136))),"")</f>
        <v/>
      </c>
    </row>
    <row r="139">
      <c r="A139" s="40">
        <f>IFERROR(INDEX('macs_ips'!$A$2:$A$403,AGGREGATE(15,6,(ROW('macs_ips'!$A$2:$A$403)-ROW(INDEX('macs_ips'!$A$2:$A$403,1,1))+1)/('macs_ips'!$E$2:$E$403=$J$1),ROW(A137))),"")</f>
        <v/>
      </c>
      <c r="B139" s="40">
        <f>IFERROR(INDEX('macs_ips'!$B$2:$B$403,AGGREGATE(15,6,(ROW('macs_ips'!$A$2:$A$403)-ROW(INDEX('macs_ips'!$A$2:$A$403,1,1))+1)/('macs_ips'!$E$2:$E$403=$J$1),ROW(A137))),"")</f>
        <v/>
      </c>
      <c r="C139" s="40">
        <f>IFERROR(INDEX('macs_ips'!$C$2:$C$403,AGGREGATE(15,6,(ROW('macs_ips'!$A$2:$A$403)-ROW(INDEX('macs_ips'!$A$2:$A$403,1,1))+1)/('macs_ips'!$E$2:$E$403=$J$1),ROW(A137))),"")</f>
        <v/>
      </c>
      <c r="D139" s="41">
        <f>IFERROR(INDEX('macs_ips'!$D$2:$D$403,AGGREGATE(15,6,(ROW('macs_ips'!$A$2:$A$403)-ROW(INDEX('macs_ips'!$A$2:$A$403,1,1))+1)/('macs_ips'!$E$2:$E$403=$J$1),ROW(A137))),"")</f>
        <v/>
      </c>
      <c r="E139" s="40">
        <f>IFERROR(INDEX('macs_ips'!$E$2:$E$403,AGGREGATE(15,6,(ROW('macs_ips'!$A$2:$A$403)-ROW(INDEX('macs_ips'!$A$2:$A$403,1,1))+1)/('macs_ips'!$E$2:$E$403=$J$1),ROW(A137))),"")</f>
        <v/>
      </c>
      <c r="F139" s="41">
        <f>IFERROR(INDEX('macs_ips'!$F$2:$F$403,AGGREGATE(15,6,(ROW('macs_ips'!$A$2:$A$403)-ROW(INDEX('macs_ips'!$A$2:$A$403,1,1))+1)/('macs_ips'!$E$2:$E$403=$J$1),ROW(A137))),"")</f>
        <v/>
      </c>
      <c r="G139" s="40">
        <f>IFERROR(INDEX('macs_ips'!$G$2:$G$403,AGGREGATE(15,6,(ROW('macs_ips'!$A$2:$A$403)-ROW(INDEX('macs_ips'!$A$2:$A$403,1,1))+1)/('macs_ips'!$E$2:$E$403=$J$1),ROW(A137))),"")</f>
        <v/>
      </c>
    </row>
    <row r="140">
      <c r="A140" s="40">
        <f>IFERROR(INDEX('macs_ips'!$A$2:$A$403,AGGREGATE(15,6,(ROW('macs_ips'!$A$2:$A$403)-ROW(INDEX('macs_ips'!$A$2:$A$403,1,1))+1)/('macs_ips'!$E$2:$E$403=$J$1),ROW(A138))),"")</f>
        <v/>
      </c>
      <c r="B140" s="40">
        <f>IFERROR(INDEX('macs_ips'!$B$2:$B$403,AGGREGATE(15,6,(ROW('macs_ips'!$A$2:$A$403)-ROW(INDEX('macs_ips'!$A$2:$A$403,1,1))+1)/('macs_ips'!$E$2:$E$403=$J$1),ROW(A138))),"")</f>
        <v/>
      </c>
      <c r="C140" s="40">
        <f>IFERROR(INDEX('macs_ips'!$C$2:$C$403,AGGREGATE(15,6,(ROW('macs_ips'!$A$2:$A$403)-ROW(INDEX('macs_ips'!$A$2:$A$403,1,1))+1)/('macs_ips'!$E$2:$E$403=$J$1),ROW(A138))),"")</f>
        <v/>
      </c>
      <c r="D140" s="41">
        <f>IFERROR(INDEX('macs_ips'!$D$2:$D$403,AGGREGATE(15,6,(ROW('macs_ips'!$A$2:$A$403)-ROW(INDEX('macs_ips'!$A$2:$A$403,1,1))+1)/('macs_ips'!$E$2:$E$403=$J$1),ROW(A138))),"")</f>
        <v/>
      </c>
      <c r="E140" s="40">
        <f>IFERROR(INDEX('macs_ips'!$E$2:$E$403,AGGREGATE(15,6,(ROW('macs_ips'!$A$2:$A$403)-ROW(INDEX('macs_ips'!$A$2:$A$403,1,1))+1)/('macs_ips'!$E$2:$E$403=$J$1),ROW(A138))),"")</f>
        <v/>
      </c>
      <c r="F140" s="41">
        <f>IFERROR(INDEX('macs_ips'!$F$2:$F$403,AGGREGATE(15,6,(ROW('macs_ips'!$A$2:$A$403)-ROW(INDEX('macs_ips'!$A$2:$A$403,1,1))+1)/('macs_ips'!$E$2:$E$403=$J$1),ROW(A138))),"")</f>
        <v/>
      </c>
      <c r="G140" s="40">
        <f>IFERROR(INDEX('macs_ips'!$G$2:$G$403,AGGREGATE(15,6,(ROW('macs_ips'!$A$2:$A$403)-ROW(INDEX('macs_ips'!$A$2:$A$403,1,1))+1)/('macs_ips'!$E$2:$E$403=$J$1),ROW(A138))),"")</f>
        <v/>
      </c>
    </row>
    <row r="141">
      <c r="A141" s="40">
        <f>IFERROR(INDEX('macs_ips'!$A$2:$A$403,AGGREGATE(15,6,(ROW('macs_ips'!$A$2:$A$403)-ROW(INDEX('macs_ips'!$A$2:$A$403,1,1))+1)/('macs_ips'!$E$2:$E$403=$J$1),ROW(A139))),"")</f>
        <v/>
      </c>
      <c r="B141" s="40">
        <f>IFERROR(INDEX('macs_ips'!$B$2:$B$403,AGGREGATE(15,6,(ROW('macs_ips'!$A$2:$A$403)-ROW(INDEX('macs_ips'!$A$2:$A$403,1,1))+1)/('macs_ips'!$E$2:$E$403=$J$1),ROW(A139))),"")</f>
        <v/>
      </c>
      <c r="C141" s="40">
        <f>IFERROR(INDEX('macs_ips'!$C$2:$C$403,AGGREGATE(15,6,(ROW('macs_ips'!$A$2:$A$403)-ROW(INDEX('macs_ips'!$A$2:$A$403,1,1))+1)/('macs_ips'!$E$2:$E$403=$J$1),ROW(A139))),"")</f>
        <v/>
      </c>
      <c r="D141" s="41">
        <f>IFERROR(INDEX('macs_ips'!$D$2:$D$403,AGGREGATE(15,6,(ROW('macs_ips'!$A$2:$A$403)-ROW(INDEX('macs_ips'!$A$2:$A$403,1,1))+1)/('macs_ips'!$E$2:$E$403=$J$1),ROW(A139))),"")</f>
        <v/>
      </c>
      <c r="E141" s="40">
        <f>IFERROR(INDEX('macs_ips'!$E$2:$E$403,AGGREGATE(15,6,(ROW('macs_ips'!$A$2:$A$403)-ROW(INDEX('macs_ips'!$A$2:$A$403,1,1))+1)/('macs_ips'!$E$2:$E$403=$J$1),ROW(A139))),"")</f>
        <v/>
      </c>
      <c r="F141" s="41">
        <f>IFERROR(INDEX('macs_ips'!$F$2:$F$403,AGGREGATE(15,6,(ROW('macs_ips'!$A$2:$A$403)-ROW(INDEX('macs_ips'!$A$2:$A$403,1,1))+1)/('macs_ips'!$E$2:$E$403=$J$1),ROW(A139))),"")</f>
        <v/>
      </c>
      <c r="G141" s="40">
        <f>IFERROR(INDEX('macs_ips'!$G$2:$G$403,AGGREGATE(15,6,(ROW('macs_ips'!$A$2:$A$403)-ROW(INDEX('macs_ips'!$A$2:$A$403,1,1))+1)/('macs_ips'!$E$2:$E$403=$J$1),ROW(A139))),"")</f>
        <v/>
      </c>
    </row>
    <row r="142">
      <c r="A142" s="40">
        <f>IFERROR(INDEX('macs_ips'!$A$2:$A$403,AGGREGATE(15,6,(ROW('macs_ips'!$A$2:$A$403)-ROW(INDEX('macs_ips'!$A$2:$A$403,1,1))+1)/('macs_ips'!$E$2:$E$403=$J$1),ROW(A140))),"")</f>
        <v/>
      </c>
      <c r="B142" s="40">
        <f>IFERROR(INDEX('macs_ips'!$B$2:$B$403,AGGREGATE(15,6,(ROW('macs_ips'!$A$2:$A$403)-ROW(INDEX('macs_ips'!$A$2:$A$403,1,1))+1)/('macs_ips'!$E$2:$E$403=$J$1),ROW(A140))),"")</f>
        <v/>
      </c>
      <c r="C142" s="40">
        <f>IFERROR(INDEX('macs_ips'!$C$2:$C$403,AGGREGATE(15,6,(ROW('macs_ips'!$A$2:$A$403)-ROW(INDEX('macs_ips'!$A$2:$A$403,1,1))+1)/('macs_ips'!$E$2:$E$403=$J$1),ROW(A140))),"")</f>
        <v/>
      </c>
      <c r="D142" s="41">
        <f>IFERROR(INDEX('macs_ips'!$D$2:$D$403,AGGREGATE(15,6,(ROW('macs_ips'!$A$2:$A$403)-ROW(INDEX('macs_ips'!$A$2:$A$403,1,1))+1)/('macs_ips'!$E$2:$E$403=$J$1),ROW(A140))),"")</f>
        <v/>
      </c>
      <c r="E142" s="40">
        <f>IFERROR(INDEX('macs_ips'!$E$2:$E$403,AGGREGATE(15,6,(ROW('macs_ips'!$A$2:$A$403)-ROW(INDEX('macs_ips'!$A$2:$A$403,1,1))+1)/('macs_ips'!$E$2:$E$403=$J$1),ROW(A140))),"")</f>
        <v/>
      </c>
      <c r="F142" s="41">
        <f>IFERROR(INDEX('macs_ips'!$F$2:$F$403,AGGREGATE(15,6,(ROW('macs_ips'!$A$2:$A$403)-ROW(INDEX('macs_ips'!$A$2:$A$403,1,1))+1)/('macs_ips'!$E$2:$E$403=$J$1),ROW(A140))),"")</f>
        <v/>
      </c>
      <c r="G142" s="40">
        <f>IFERROR(INDEX('macs_ips'!$G$2:$G$403,AGGREGATE(15,6,(ROW('macs_ips'!$A$2:$A$403)-ROW(INDEX('macs_ips'!$A$2:$A$403,1,1))+1)/('macs_ips'!$E$2:$E$403=$J$1),ROW(A140))),"")</f>
        <v/>
      </c>
    </row>
    <row r="143">
      <c r="A143" s="40">
        <f>IFERROR(INDEX('macs_ips'!$A$2:$A$403,AGGREGATE(15,6,(ROW('macs_ips'!$A$2:$A$403)-ROW(INDEX('macs_ips'!$A$2:$A$403,1,1))+1)/('macs_ips'!$E$2:$E$403=$J$1),ROW(A141))),"")</f>
        <v/>
      </c>
      <c r="B143" s="40">
        <f>IFERROR(INDEX('macs_ips'!$B$2:$B$403,AGGREGATE(15,6,(ROW('macs_ips'!$A$2:$A$403)-ROW(INDEX('macs_ips'!$A$2:$A$403,1,1))+1)/('macs_ips'!$E$2:$E$403=$J$1),ROW(A141))),"")</f>
        <v/>
      </c>
      <c r="C143" s="40">
        <f>IFERROR(INDEX('macs_ips'!$C$2:$C$403,AGGREGATE(15,6,(ROW('macs_ips'!$A$2:$A$403)-ROW(INDEX('macs_ips'!$A$2:$A$403,1,1))+1)/('macs_ips'!$E$2:$E$403=$J$1),ROW(A141))),"")</f>
        <v/>
      </c>
      <c r="D143" s="41">
        <f>IFERROR(INDEX('macs_ips'!$D$2:$D$403,AGGREGATE(15,6,(ROW('macs_ips'!$A$2:$A$403)-ROW(INDEX('macs_ips'!$A$2:$A$403,1,1))+1)/('macs_ips'!$E$2:$E$403=$J$1),ROW(A141))),"")</f>
        <v/>
      </c>
      <c r="E143" s="40">
        <f>IFERROR(INDEX('macs_ips'!$E$2:$E$403,AGGREGATE(15,6,(ROW('macs_ips'!$A$2:$A$403)-ROW(INDEX('macs_ips'!$A$2:$A$403,1,1))+1)/('macs_ips'!$E$2:$E$403=$J$1),ROW(A141))),"")</f>
        <v/>
      </c>
      <c r="F143" s="41">
        <f>IFERROR(INDEX('macs_ips'!$F$2:$F$403,AGGREGATE(15,6,(ROW('macs_ips'!$A$2:$A$403)-ROW(INDEX('macs_ips'!$A$2:$A$403,1,1))+1)/('macs_ips'!$E$2:$E$403=$J$1),ROW(A141))),"")</f>
        <v/>
      </c>
      <c r="G143" s="40">
        <f>IFERROR(INDEX('macs_ips'!$G$2:$G$403,AGGREGATE(15,6,(ROW('macs_ips'!$A$2:$A$403)-ROW(INDEX('macs_ips'!$A$2:$A$403,1,1))+1)/('macs_ips'!$E$2:$E$403=$J$1),ROW(A141))),"")</f>
        <v/>
      </c>
    </row>
    <row r="144">
      <c r="A144" s="40">
        <f>IFERROR(INDEX('macs_ips'!$A$2:$A$403,AGGREGATE(15,6,(ROW('macs_ips'!$A$2:$A$403)-ROW(INDEX('macs_ips'!$A$2:$A$403,1,1))+1)/('macs_ips'!$E$2:$E$403=$J$1),ROW(A142))),"")</f>
        <v/>
      </c>
      <c r="B144" s="40">
        <f>IFERROR(INDEX('macs_ips'!$B$2:$B$403,AGGREGATE(15,6,(ROW('macs_ips'!$A$2:$A$403)-ROW(INDEX('macs_ips'!$A$2:$A$403,1,1))+1)/('macs_ips'!$E$2:$E$403=$J$1),ROW(A142))),"")</f>
        <v/>
      </c>
      <c r="C144" s="40">
        <f>IFERROR(INDEX('macs_ips'!$C$2:$C$403,AGGREGATE(15,6,(ROW('macs_ips'!$A$2:$A$403)-ROW(INDEX('macs_ips'!$A$2:$A$403,1,1))+1)/('macs_ips'!$E$2:$E$403=$J$1),ROW(A142))),"")</f>
        <v/>
      </c>
      <c r="D144" s="41">
        <f>IFERROR(INDEX('macs_ips'!$D$2:$D$403,AGGREGATE(15,6,(ROW('macs_ips'!$A$2:$A$403)-ROW(INDEX('macs_ips'!$A$2:$A$403,1,1))+1)/('macs_ips'!$E$2:$E$403=$J$1),ROW(A142))),"")</f>
        <v/>
      </c>
      <c r="E144" s="40">
        <f>IFERROR(INDEX('macs_ips'!$E$2:$E$403,AGGREGATE(15,6,(ROW('macs_ips'!$A$2:$A$403)-ROW(INDEX('macs_ips'!$A$2:$A$403,1,1))+1)/('macs_ips'!$E$2:$E$403=$J$1),ROW(A142))),"")</f>
        <v/>
      </c>
      <c r="F144" s="41">
        <f>IFERROR(INDEX('macs_ips'!$F$2:$F$403,AGGREGATE(15,6,(ROW('macs_ips'!$A$2:$A$403)-ROW(INDEX('macs_ips'!$A$2:$A$403,1,1))+1)/('macs_ips'!$E$2:$E$403=$J$1),ROW(A142))),"")</f>
        <v/>
      </c>
      <c r="G144" s="40">
        <f>IFERROR(INDEX('macs_ips'!$G$2:$G$403,AGGREGATE(15,6,(ROW('macs_ips'!$A$2:$A$403)-ROW(INDEX('macs_ips'!$A$2:$A$403,1,1))+1)/('macs_ips'!$E$2:$E$403=$J$1),ROW(A142))),"")</f>
        <v/>
      </c>
    </row>
    <row r="145">
      <c r="A145" s="40">
        <f>IFERROR(INDEX('macs_ips'!$A$2:$A$403,AGGREGATE(15,6,(ROW('macs_ips'!$A$2:$A$403)-ROW(INDEX('macs_ips'!$A$2:$A$403,1,1))+1)/('macs_ips'!$E$2:$E$403=$J$1),ROW(A143))),"")</f>
        <v/>
      </c>
      <c r="B145" s="40">
        <f>IFERROR(INDEX('macs_ips'!$B$2:$B$403,AGGREGATE(15,6,(ROW('macs_ips'!$A$2:$A$403)-ROW(INDEX('macs_ips'!$A$2:$A$403,1,1))+1)/('macs_ips'!$E$2:$E$403=$J$1),ROW(A143))),"")</f>
        <v/>
      </c>
      <c r="C145" s="40">
        <f>IFERROR(INDEX('macs_ips'!$C$2:$C$403,AGGREGATE(15,6,(ROW('macs_ips'!$A$2:$A$403)-ROW(INDEX('macs_ips'!$A$2:$A$403,1,1))+1)/('macs_ips'!$E$2:$E$403=$J$1),ROW(A143))),"")</f>
        <v/>
      </c>
      <c r="D145" s="41">
        <f>IFERROR(INDEX('macs_ips'!$D$2:$D$403,AGGREGATE(15,6,(ROW('macs_ips'!$A$2:$A$403)-ROW(INDEX('macs_ips'!$A$2:$A$403,1,1))+1)/('macs_ips'!$E$2:$E$403=$J$1),ROW(A143))),"")</f>
        <v/>
      </c>
      <c r="E145" s="40">
        <f>IFERROR(INDEX('macs_ips'!$E$2:$E$403,AGGREGATE(15,6,(ROW('macs_ips'!$A$2:$A$403)-ROW(INDEX('macs_ips'!$A$2:$A$403,1,1))+1)/('macs_ips'!$E$2:$E$403=$J$1),ROW(A143))),"")</f>
        <v/>
      </c>
      <c r="F145" s="41">
        <f>IFERROR(INDEX('macs_ips'!$F$2:$F$403,AGGREGATE(15,6,(ROW('macs_ips'!$A$2:$A$403)-ROW(INDEX('macs_ips'!$A$2:$A$403,1,1))+1)/('macs_ips'!$E$2:$E$403=$J$1),ROW(A143))),"")</f>
        <v/>
      </c>
      <c r="G145" s="40">
        <f>IFERROR(INDEX('macs_ips'!$G$2:$G$403,AGGREGATE(15,6,(ROW('macs_ips'!$A$2:$A$403)-ROW(INDEX('macs_ips'!$A$2:$A$403,1,1))+1)/('macs_ips'!$E$2:$E$403=$J$1),ROW(A143))),"")</f>
        <v/>
      </c>
    </row>
    <row r="146">
      <c r="A146" s="40">
        <f>IFERROR(INDEX('macs_ips'!$A$2:$A$403,AGGREGATE(15,6,(ROW('macs_ips'!$A$2:$A$403)-ROW(INDEX('macs_ips'!$A$2:$A$403,1,1))+1)/('macs_ips'!$E$2:$E$403=$J$1),ROW(A144))),"")</f>
        <v/>
      </c>
      <c r="B146" s="40">
        <f>IFERROR(INDEX('macs_ips'!$B$2:$B$403,AGGREGATE(15,6,(ROW('macs_ips'!$A$2:$A$403)-ROW(INDEX('macs_ips'!$A$2:$A$403,1,1))+1)/('macs_ips'!$E$2:$E$403=$J$1),ROW(A144))),"")</f>
        <v/>
      </c>
      <c r="C146" s="40">
        <f>IFERROR(INDEX('macs_ips'!$C$2:$C$403,AGGREGATE(15,6,(ROW('macs_ips'!$A$2:$A$403)-ROW(INDEX('macs_ips'!$A$2:$A$403,1,1))+1)/('macs_ips'!$E$2:$E$403=$J$1),ROW(A144))),"")</f>
        <v/>
      </c>
      <c r="D146" s="41">
        <f>IFERROR(INDEX('macs_ips'!$D$2:$D$403,AGGREGATE(15,6,(ROW('macs_ips'!$A$2:$A$403)-ROW(INDEX('macs_ips'!$A$2:$A$403,1,1))+1)/('macs_ips'!$E$2:$E$403=$J$1),ROW(A144))),"")</f>
        <v/>
      </c>
      <c r="E146" s="40">
        <f>IFERROR(INDEX('macs_ips'!$E$2:$E$403,AGGREGATE(15,6,(ROW('macs_ips'!$A$2:$A$403)-ROW(INDEX('macs_ips'!$A$2:$A$403,1,1))+1)/('macs_ips'!$E$2:$E$403=$J$1),ROW(A144))),"")</f>
        <v/>
      </c>
      <c r="F146" s="41">
        <f>IFERROR(INDEX('macs_ips'!$F$2:$F$403,AGGREGATE(15,6,(ROW('macs_ips'!$A$2:$A$403)-ROW(INDEX('macs_ips'!$A$2:$A$403,1,1))+1)/('macs_ips'!$E$2:$E$403=$J$1),ROW(A144))),"")</f>
        <v/>
      </c>
      <c r="G146" s="40">
        <f>IFERROR(INDEX('macs_ips'!$G$2:$G$403,AGGREGATE(15,6,(ROW('macs_ips'!$A$2:$A$403)-ROW(INDEX('macs_ips'!$A$2:$A$403,1,1))+1)/('macs_ips'!$E$2:$E$403=$J$1),ROW(A144))),"")</f>
        <v/>
      </c>
    </row>
    <row r="147">
      <c r="A147" s="40">
        <f>IFERROR(INDEX('macs_ips'!$A$2:$A$403,AGGREGATE(15,6,(ROW('macs_ips'!$A$2:$A$403)-ROW(INDEX('macs_ips'!$A$2:$A$403,1,1))+1)/('macs_ips'!$E$2:$E$403=$J$1),ROW(A145))),"")</f>
        <v/>
      </c>
      <c r="B147" s="40">
        <f>IFERROR(INDEX('macs_ips'!$B$2:$B$403,AGGREGATE(15,6,(ROW('macs_ips'!$A$2:$A$403)-ROW(INDEX('macs_ips'!$A$2:$A$403,1,1))+1)/('macs_ips'!$E$2:$E$403=$J$1),ROW(A145))),"")</f>
        <v/>
      </c>
      <c r="C147" s="40">
        <f>IFERROR(INDEX('macs_ips'!$C$2:$C$403,AGGREGATE(15,6,(ROW('macs_ips'!$A$2:$A$403)-ROW(INDEX('macs_ips'!$A$2:$A$403,1,1))+1)/('macs_ips'!$E$2:$E$403=$J$1),ROW(A145))),"")</f>
        <v/>
      </c>
      <c r="D147" s="41">
        <f>IFERROR(INDEX('macs_ips'!$D$2:$D$403,AGGREGATE(15,6,(ROW('macs_ips'!$A$2:$A$403)-ROW(INDEX('macs_ips'!$A$2:$A$403,1,1))+1)/('macs_ips'!$E$2:$E$403=$J$1),ROW(A145))),"")</f>
        <v/>
      </c>
      <c r="E147" s="40">
        <f>IFERROR(INDEX('macs_ips'!$E$2:$E$403,AGGREGATE(15,6,(ROW('macs_ips'!$A$2:$A$403)-ROW(INDEX('macs_ips'!$A$2:$A$403,1,1))+1)/('macs_ips'!$E$2:$E$403=$J$1),ROW(A145))),"")</f>
        <v/>
      </c>
      <c r="F147" s="41">
        <f>IFERROR(INDEX('macs_ips'!$F$2:$F$403,AGGREGATE(15,6,(ROW('macs_ips'!$A$2:$A$403)-ROW(INDEX('macs_ips'!$A$2:$A$403,1,1))+1)/('macs_ips'!$E$2:$E$403=$J$1),ROW(A145))),"")</f>
        <v/>
      </c>
      <c r="G147" s="40">
        <f>IFERROR(INDEX('macs_ips'!$G$2:$G$403,AGGREGATE(15,6,(ROW('macs_ips'!$A$2:$A$403)-ROW(INDEX('macs_ips'!$A$2:$A$403,1,1))+1)/('macs_ips'!$E$2:$E$403=$J$1),ROW(A145))),"")</f>
        <v/>
      </c>
    </row>
    <row r="148">
      <c r="A148" s="40">
        <f>IFERROR(INDEX('macs_ips'!$A$2:$A$403,AGGREGATE(15,6,(ROW('macs_ips'!$A$2:$A$403)-ROW(INDEX('macs_ips'!$A$2:$A$403,1,1))+1)/('macs_ips'!$E$2:$E$403=$J$1),ROW(A146))),"")</f>
        <v/>
      </c>
      <c r="B148" s="40">
        <f>IFERROR(INDEX('macs_ips'!$B$2:$B$403,AGGREGATE(15,6,(ROW('macs_ips'!$A$2:$A$403)-ROW(INDEX('macs_ips'!$A$2:$A$403,1,1))+1)/('macs_ips'!$E$2:$E$403=$J$1),ROW(A146))),"")</f>
        <v/>
      </c>
      <c r="C148" s="40">
        <f>IFERROR(INDEX('macs_ips'!$C$2:$C$403,AGGREGATE(15,6,(ROW('macs_ips'!$A$2:$A$403)-ROW(INDEX('macs_ips'!$A$2:$A$403,1,1))+1)/('macs_ips'!$E$2:$E$403=$J$1),ROW(A146))),"")</f>
        <v/>
      </c>
      <c r="D148" s="41">
        <f>IFERROR(INDEX('macs_ips'!$D$2:$D$403,AGGREGATE(15,6,(ROW('macs_ips'!$A$2:$A$403)-ROW(INDEX('macs_ips'!$A$2:$A$403,1,1))+1)/('macs_ips'!$E$2:$E$403=$J$1),ROW(A146))),"")</f>
        <v/>
      </c>
      <c r="E148" s="40">
        <f>IFERROR(INDEX('macs_ips'!$E$2:$E$403,AGGREGATE(15,6,(ROW('macs_ips'!$A$2:$A$403)-ROW(INDEX('macs_ips'!$A$2:$A$403,1,1))+1)/('macs_ips'!$E$2:$E$403=$J$1),ROW(A146))),"")</f>
        <v/>
      </c>
      <c r="F148" s="41">
        <f>IFERROR(INDEX('macs_ips'!$F$2:$F$403,AGGREGATE(15,6,(ROW('macs_ips'!$A$2:$A$403)-ROW(INDEX('macs_ips'!$A$2:$A$403,1,1))+1)/('macs_ips'!$E$2:$E$403=$J$1),ROW(A146))),"")</f>
        <v/>
      </c>
      <c r="G148" s="40">
        <f>IFERROR(INDEX('macs_ips'!$G$2:$G$403,AGGREGATE(15,6,(ROW('macs_ips'!$A$2:$A$403)-ROW(INDEX('macs_ips'!$A$2:$A$403,1,1))+1)/('macs_ips'!$E$2:$E$403=$J$1),ROW(A146))),"")</f>
        <v/>
      </c>
    </row>
    <row r="149">
      <c r="A149" s="40">
        <f>IFERROR(INDEX('macs_ips'!$A$2:$A$403,AGGREGATE(15,6,(ROW('macs_ips'!$A$2:$A$403)-ROW(INDEX('macs_ips'!$A$2:$A$403,1,1))+1)/('macs_ips'!$E$2:$E$403=$J$1),ROW(A147))),"")</f>
        <v/>
      </c>
      <c r="B149" s="40">
        <f>IFERROR(INDEX('macs_ips'!$B$2:$B$403,AGGREGATE(15,6,(ROW('macs_ips'!$A$2:$A$403)-ROW(INDEX('macs_ips'!$A$2:$A$403,1,1))+1)/('macs_ips'!$E$2:$E$403=$J$1),ROW(A147))),"")</f>
        <v/>
      </c>
      <c r="C149" s="40">
        <f>IFERROR(INDEX('macs_ips'!$C$2:$C$403,AGGREGATE(15,6,(ROW('macs_ips'!$A$2:$A$403)-ROW(INDEX('macs_ips'!$A$2:$A$403,1,1))+1)/('macs_ips'!$E$2:$E$403=$J$1),ROW(A147))),"")</f>
        <v/>
      </c>
      <c r="D149" s="41">
        <f>IFERROR(INDEX('macs_ips'!$D$2:$D$403,AGGREGATE(15,6,(ROW('macs_ips'!$A$2:$A$403)-ROW(INDEX('macs_ips'!$A$2:$A$403,1,1))+1)/('macs_ips'!$E$2:$E$403=$J$1),ROW(A147))),"")</f>
        <v/>
      </c>
      <c r="E149" s="40">
        <f>IFERROR(INDEX('macs_ips'!$E$2:$E$403,AGGREGATE(15,6,(ROW('macs_ips'!$A$2:$A$403)-ROW(INDEX('macs_ips'!$A$2:$A$403,1,1))+1)/('macs_ips'!$E$2:$E$403=$J$1),ROW(A147))),"")</f>
        <v/>
      </c>
      <c r="F149" s="41">
        <f>IFERROR(INDEX('macs_ips'!$F$2:$F$403,AGGREGATE(15,6,(ROW('macs_ips'!$A$2:$A$403)-ROW(INDEX('macs_ips'!$A$2:$A$403,1,1))+1)/('macs_ips'!$E$2:$E$403=$J$1),ROW(A147))),"")</f>
        <v/>
      </c>
      <c r="G149" s="40">
        <f>IFERROR(INDEX('macs_ips'!$G$2:$G$403,AGGREGATE(15,6,(ROW('macs_ips'!$A$2:$A$403)-ROW(INDEX('macs_ips'!$A$2:$A$403,1,1))+1)/('macs_ips'!$E$2:$E$403=$J$1),ROW(A147))),"")</f>
        <v/>
      </c>
    </row>
    <row r="150">
      <c r="A150" s="40">
        <f>IFERROR(INDEX('macs_ips'!$A$2:$A$403,AGGREGATE(15,6,(ROW('macs_ips'!$A$2:$A$403)-ROW(INDEX('macs_ips'!$A$2:$A$403,1,1))+1)/('macs_ips'!$E$2:$E$403=$J$1),ROW(A148))),"")</f>
        <v/>
      </c>
      <c r="B150" s="40">
        <f>IFERROR(INDEX('macs_ips'!$B$2:$B$403,AGGREGATE(15,6,(ROW('macs_ips'!$A$2:$A$403)-ROW(INDEX('macs_ips'!$A$2:$A$403,1,1))+1)/('macs_ips'!$E$2:$E$403=$J$1),ROW(A148))),"")</f>
        <v/>
      </c>
      <c r="C150" s="40">
        <f>IFERROR(INDEX('macs_ips'!$C$2:$C$403,AGGREGATE(15,6,(ROW('macs_ips'!$A$2:$A$403)-ROW(INDEX('macs_ips'!$A$2:$A$403,1,1))+1)/('macs_ips'!$E$2:$E$403=$J$1),ROW(A148))),"")</f>
        <v/>
      </c>
      <c r="D150" s="41">
        <f>IFERROR(INDEX('macs_ips'!$D$2:$D$403,AGGREGATE(15,6,(ROW('macs_ips'!$A$2:$A$403)-ROW(INDEX('macs_ips'!$A$2:$A$403,1,1))+1)/('macs_ips'!$E$2:$E$403=$J$1),ROW(A148))),"")</f>
        <v/>
      </c>
      <c r="E150" s="40">
        <f>IFERROR(INDEX('macs_ips'!$E$2:$E$403,AGGREGATE(15,6,(ROW('macs_ips'!$A$2:$A$403)-ROW(INDEX('macs_ips'!$A$2:$A$403,1,1))+1)/('macs_ips'!$E$2:$E$403=$J$1),ROW(A148))),"")</f>
        <v/>
      </c>
      <c r="F150" s="41">
        <f>IFERROR(INDEX('macs_ips'!$F$2:$F$403,AGGREGATE(15,6,(ROW('macs_ips'!$A$2:$A$403)-ROW(INDEX('macs_ips'!$A$2:$A$403,1,1))+1)/('macs_ips'!$E$2:$E$403=$J$1),ROW(A148))),"")</f>
        <v/>
      </c>
      <c r="G150" s="40">
        <f>IFERROR(INDEX('macs_ips'!$G$2:$G$403,AGGREGATE(15,6,(ROW('macs_ips'!$A$2:$A$403)-ROW(INDEX('macs_ips'!$A$2:$A$403,1,1))+1)/('macs_ips'!$E$2:$E$403=$J$1),ROW(A148))),"")</f>
        <v/>
      </c>
    </row>
    <row r="151">
      <c r="A151" s="40">
        <f>IFERROR(INDEX('macs_ips'!$A$2:$A$403,AGGREGATE(15,6,(ROW('macs_ips'!$A$2:$A$403)-ROW(INDEX('macs_ips'!$A$2:$A$403,1,1))+1)/('macs_ips'!$E$2:$E$403=$J$1),ROW(A149))),"")</f>
        <v/>
      </c>
      <c r="B151" s="40">
        <f>IFERROR(INDEX('macs_ips'!$B$2:$B$403,AGGREGATE(15,6,(ROW('macs_ips'!$A$2:$A$403)-ROW(INDEX('macs_ips'!$A$2:$A$403,1,1))+1)/('macs_ips'!$E$2:$E$403=$J$1),ROW(A149))),"")</f>
        <v/>
      </c>
      <c r="C151" s="40">
        <f>IFERROR(INDEX('macs_ips'!$C$2:$C$403,AGGREGATE(15,6,(ROW('macs_ips'!$A$2:$A$403)-ROW(INDEX('macs_ips'!$A$2:$A$403,1,1))+1)/('macs_ips'!$E$2:$E$403=$J$1),ROW(A149))),"")</f>
        <v/>
      </c>
      <c r="D151" s="41">
        <f>IFERROR(INDEX('macs_ips'!$D$2:$D$403,AGGREGATE(15,6,(ROW('macs_ips'!$A$2:$A$403)-ROW(INDEX('macs_ips'!$A$2:$A$403,1,1))+1)/('macs_ips'!$E$2:$E$403=$J$1),ROW(A149))),"")</f>
        <v/>
      </c>
      <c r="E151" s="40">
        <f>IFERROR(INDEX('macs_ips'!$E$2:$E$403,AGGREGATE(15,6,(ROW('macs_ips'!$A$2:$A$403)-ROW(INDEX('macs_ips'!$A$2:$A$403,1,1))+1)/('macs_ips'!$E$2:$E$403=$J$1),ROW(A149))),"")</f>
        <v/>
      </c>
      <c r="F151" s="41">
        <f>IFERROR(INDEX('macs_ips'!$F$2:$F$403,AGGREGATE(15,6,(ROW('macs_ips'!$A$2:$A$403)-ROW(INDEX('macs_ips'!$A$2:$A$403,1,1))+1)/('macs_ips'!$E$2:$E$403=$J$1),ROW(A149))),"")</f>
        <v/>
      </c>
      <c r="G151" s="40">
        <f>IFERROR(INDEX('macs_ips'!$G$2:$G$403,AGGREGATE(15,6,(ROW('macs_ips'!$A$2:$A$403)-ROW(INDEX('macs_ips'!$A$2:$A$403,1,1))+1)/('macs_ips'!$E$2:$E$403=$J$1),ROW(A149))),"")</f>
        <v/>
      </c>
    </row>
    <row r="152">
      <c r="A152" s="40">
        <f>IFERROR(INDEX('macs_ips'!$A$2:$A$403,AGGREGATE(15,6,(ROW('macs_ips'!$A$2:$A$403)-ROW(INDEX('macs_ips'!$A$2:$A$403,1,1))+1)/('macs_ips'!$E$2:$E$403=$J$1),ROW(A150))),"")</f>
        <v/>
      </c>
      <c r="B152" s="40">
        <f>IFERROR(INDEX('macs_ips'!$B$2:$B$403,AGGREGATE(15,6,(ROW('macs_ips'!$A$2:$A$403)-ROW(INDEX('macs_ips'!$A$2:$A$403,1,1))+1)/('macs_ips'!$E$2:$E$403=$J$1),ROW(A150))),"")</f>
        <v/>
      </c>
      <c r="C152" s="40">
        <f>IFERROR(INDEX('macs_ips'!$C$2:$C$403,AGGREGATE(15,6,(ROW('macs_ips'!$A$2:$A$403)-ROW(INDEX('macs_ips'!$A$2:$A$403,1,1))+1)/('macs_ips'!$E$2:$E$403=$J$1),ROW(A150))),"")</f>
        <v/>
      </c>
      <c r="D152" s="41">
        <f>IFERROR(INDEX('macs_ips'!$D$2:$D$403,AGGREGATE(15,6,(ROW('macs_ips'!$A$2:$A$403)-ROW(INDEX('macs_ips'!$A$2:$A$403,1,1))+1)/('macs_ips'!$E$2:$E$403=$J$1),ROW(A150))),"")</f>
        <v/>
      </c>
      <c r="E152" s="40">
        <f>IFERROR(INDEX('macs_ips'!$E$2:$E$403,AGGREGATE(15,6,(ROW('macs_ips'!$A$2:$A$403)-ROW(INDEX('macs_ips'!$A$2:$A$403,1,1))+1)/('macs_ips'!$E$2:$E$403=$J$1),ROW(A150))),"")</f>
        <v/>
      </c>
      <c r="F152" s="41">
        <f>IFERROR(INDEX('macs_ips'!$F$2:$F$403,AGGREGATE(15,6,(ROW('macs_ips'!$A$2:$A$403)-ROW(INDEX('macs_ips'!$A$2:$A$403,1,1))+1)/('macs_ips'!$E$2:$E$403=$J$1),ROW(A150))),"")</f>
        <v/>
      </c>
      <c r="G152" s="40">
        <f>IFERROR(INDEX('macs_ips'!$G$2:$G$403,AGGREGATE(15,6,(ROW('macs_ips'!$A$2:$A$403)-ROW(INDEX('macs_ips'!$A$2:$A$403,1,1))+1)/('macs_ips'!$E$2:$E$403=$J$1),ROW(A150))),"")</f>
        <v/>
      </c>
    </row>
    <row r="153">
      <c r="A153" s="40">
        <f>IFERROR(INDEX('macs_ips'!$A$2:$A$403,AGGREGATE(15,6,(ROW('macs_ips'!$A$2:$A$403)-ROW(INDEX('macs_ips'!$A$2:$A$403,1,1))+1)/('macs_ips'!$E$2:$E$403=$J$1),ROW(A151))),"")</f>
        <v/>
      </c>
      <c r="B153" s="40">
        <f>IFERROR(INDEX('macs_ips'!$B$2:$B$403,AGGREGATE(15,6,(ROW('macs_ips'!$A$2:$A$403)-ROW(INDEX('macs_ips'!$A$2:$A$403,1,1))+1)/('macs_ips'!$E$2:$E$403=$J$1),ROW(A151))),"")</f>
        <v/>
      </c>
      <c r="C153" s="40">
        <f>IFERROR(INDEX('macs_ips'!$C$2:$C$403,AGGREGATE(15,6,(ROW('macs_ips'!$A$2:$A$403)-ROW(INDEX('macs_ips'!$A$2:$A$403,1,1))+1)/('macs_ips'!$E$2:$E$403=$J$1),ROW(A151))),"")</f>
        <v/>
      </c>
      <c r="D153" s="41">
        <f>IFERROR(INDEX('macs_ips'!$D$2:$D$403,AGGREGATE(15,6,(ROW('macs_ips'!$A$2:$A$403)-ROW(INDEX('macs_ips'!$A$2:$A$403,1,1))+1)/('macs_ips'!$E$2:$E$403=$J$1),ROW(A151))),"")</f>
        <v/>
      </c>
      <c r="E153" s="40">
        <f>IFERROR(INDEX('macs_ips'!$E$2:$E$403,AGGREGATE(15,6,(ROW('macs_ips'!$A$2:$A$403)-ROW(INDEX('macs_ips'!$A$2:$A$403,1,1))+1)/('macs_ips'!$E$2:$E$403=$J$1),ROW(A151))),"")</f>
        <v/>
      </c>
      <c r="F153" s="41">
        <f>IFERROR(INDEX('macs_ips'!$F$2:$F$403,AGGREGATE(15,6,(ROW('macs_ips'!$A$2:$A$403)-ROW(INDEX('macs_ips'!$A$2:$A$403,1,1))+1)/('macs_ips'!$E$2:$E$403=$J$1),ROW(A151))),"")</f>
        <v/>
      </c>
      <c r="G153" s="40">
        <f>IFERROR(INDEX('macs_ips'!$G$2:$G$403,AGGREGATE(15,6,(ROW('macs_ips'!$A$2:$A$403)-ROW(INDEX('macs_ips'!$A$2:$A$403,1,1))+1)/('macs_ips'!$E$2:$E$403=$J$1),ROW(A151))),"")</f>
        <v/>
      </c>
    </row>
    <row r="154">
      <c r="A154" s="40">
        <f>IFERROR(INDEX('macs_ips'!$A$2:$A$403,AGGREGATE(15,6,(ROW('macs_ips'!$A$2:$A$403)-ROW(INDEX('macs_ips'!$A$2:$A$403,1,1))+1)/('macs_ips'!$E$2:$E$403=$J$1),ROW(A152))),"")</f>
        <v/>
      </c>
      <c r="B154" s="40">
        <f>IFERROR(INDEX('macs_ips'!$B$2:$B$403,AGGREGATE(15,6,(ROW('macs_ips'!$A$2:$A$403)-ROW(INDEX('macs_ips'!$A$2:$A$403,1,1))+1)/('macs_ips'!$E$2:$E$403=$J$1),ROW(A152))),"")</f>
        <v/>
      </c>
      <c r="C154" s="40">
        <f>IFERROR(INDEX('macs_ips'!$C$2:$C$403,AGGREGATE(15,6,(ROW('macs_ips'!$A$2:$A$403)-ROW(INDEX('macs_ips'!$A$2:$A$403,1,1))+1)/('macs_ips'!$E$2:$E$403=$J$1),ROW(A152))),"")</f>
        <v/>
      </c>
      <c r="D154" s="41">
        <f>IFERROR(INDEX('macs_ips'!$D$2:$D$403,AGGREGATE(15,6,(ROW('macs_ips'!$A$2:$A$403)-ROW(INDEX('macs_ips'!$A$2:$A$403,1,1))+1)/('macs_ips'!$E$2:$E$403=$J$1),ROW(A152))),"")</f>
        <v/>
      </c>
      <c r="E154" s="40">
        <f>IFERROR(INDEX('macs_ips'!$E$2:$E$403,AGGREGATE(15,6,(ROW('macs_ips'!$A$2:$A$403)-ROW(INDEX('macs_ips'!$A$2:$A$403,1,1))+1)/('macs_ips'!$E$2:$E$403=$J$1),ROW(A152))),"")</f>
        <v/>
      </c>
      <c r="F154" s="41">
        <f>IFERROR(INDEX('macs_ips'!$F$2:$F$403,AGGREGATE(15,6,(ROW('macs_ips'!$A$2:$A$403)-ROW(INDEX('macs_ips'!$A$2:$A$403,1,1))+1)/('macs_ips'!$E$2:$E$403=$J$1),ROW(A152))),"")</f>
        <v/>
      </c>
      <c r="G154" s="40">
        <f>IFERROR(INDEX('macs_ips'!$G$2:$G$403,AGGREGATE(15,6,(ROW('macs_ips'!$A$2:$A$403)-ROW(INDEX('macs_ips'!$A$2:$A$403,1,1))+1)/('macs_ips'!$E$2:$E$403=$J$1),ROW(A152))),"")</f>
        <v/>
      </c>
    </row>
    <row r="155">
      <c r="A155" s="40">
        <f>IFERROR(INDEX('macs_ips'!$A$2:$A$403,AGGREGATE(15,6,(ROW('macs_ips'!$A$2:$A$403)-ROW(INDEX('macs_ips'!$A$2:$A$403,1,1))+1)/('macs_ips'!$E$2:$E$403=$J$1),ROW(A153))),"")</f>
        <v/>
      </c>
      <c r="B155" s="40">
        <f>IFERROR(INDEX('macs_ips'!$B$2:$B$403,AGGREGATE(15,6,(ROW('macs_ips'!$A$2:$A$403)-ROW(INDEX('macs_ips'!$A$2:$A$403,1,1))+1)/('macs_ips'!$E$2:$E$403=$J$1),ROW(A153))),"")</f>
        <v/>
      </c>
      <c r="C155" s="40">
        <f>IFERROR(INDEX('macs_ips'!$C$2:$C$403,AGGREGATE(15,6,(ROW('macs_ips'!$A$2:$A$403)-ROW(INDEX('macs_ips'!$A$2:$A$403,1,1))+1)/('macs_ips'!$E$2:$E$403=$J$1),ROW(A153))),"")</f>
        <v/>
      </c>
      <c r="D155" s="41">
        <f>IFERROR(INDEX('macs_ips'!$D$2:$D$403,AGGREGATE(15,6,(ROW('macs_ips'!$A$2:$A$403)-ROW(INDEX('macs_ips'!$A$2:$A$403,1,1))+1)/('macs_ips'!$E$2:$E$403=$J$1),ROW(A153))),"")</f>
        <v/>
      </c>
      <c r="E155" s="40">
        <f>IFERROR(INDEX('macs_ips'!$E$2:$E$403,AGGREGATE(15,6,(ROW('macs_ips'!$A$2:$A$403)-ROW(INDEX('macs_ips'!$A$2:$A$403,1,1))+1)/('macs_ips'!$E$2:$E$403=$J$1),ROW(A153))),"")</f>
        <v/>
      </c>
      <c r="F155" s="41">
        <f>IFERROR(INDEX('macs_ips'!$F$2:$F$403,AGGREGATE(15,6,(ROW('macs_ips'!$A$2:$A$403)-ROW(INDEX('macs_ips'!$A$2:$A$403,1,1))+1)/('macs_ips'!$E$2:$E$403=$J$1),ROW(A153))),"")</f>
        <v/>
      </c>
      <c r="G155" s="40">
        <f>IFERROR(INDEX('macs_ips'!$G$2:$G$403,AGGREGATE(15,6,(ROW('macs_ips'!$A$2:$A$403)-ROW(INDEX('macs_ips'!$A$2:$A$403,1,1))+1)/('macs_ips'!$E$2:$E$403=$J$1),ROW(A153))),"")</f>
        <v/>
      </c>
    </row>
    <row r="156">
      <c r="A156" s="40">
        <f>IFERROR(INDEX('macs_ips'!$A$2:$A$403,AGGREGATE(15,6,(ROW('macs_ips'!$A$2:$A$403)-ROW(INDEX('macs_ips'!$A$2:$A$403,1,1))+1)/('macs_ips'!$E$2:$E$403=$J$1),ROW(A154))),"")</f>
        <v/>
      </c>
      <c r="B156" s="40">
        <f>IFERROR(INDEX('macs_ips'!$B$2:$B$403,AGGREGATE(15,6,(ROW('macs_ips'!$A$2:$A$403)-ROW(INDEX('macs_ips'!$A$2:$A$403,1,1))+1)/('macs_ips'!$E$2:$E$403=$J$1),ROW(A154))),"")</f>
        <v/>
      </c>
      <c r="C156" s="40">
        <f>IFERROR(INDEX('macs_ips'!$C$2:$C$403,AGGREGATE(15,6,(ROW('macs_ips'!$A$2:$A$403)-ROW(INDEX('macs_ips'!$A$2:$A$403,1,1))+1)/('macs_ips'!$E$2:$E$403=$J$1),ROW(A154))),"")</f>
        <v/>
      </c>
      <c r="D156" s="41">
        <f>IFERROR(INDEX('macs_ips'!$D$2:$D$403,AGGREGATE(15,6,(ROW('macs_ips'!$A$2:$A$403)-ROW(INDEX('macs_ips'!$A$2:$A$403,1,1))+1)/('macs_ips'!$E$2:$E$403=$J$1),ROW(A154))),"")</f>
        <v/>
      </c>
      <c r="E156" s="40">
        <f>IFERROR(INDEX('macs_ips'!$E$2:$E$403,AGGREGATE(15,6,(ROW('macs_ips'!$A$2:$A$403)-ROW(INDEX('macs_ips'!$A$2:$A$403,1,1))+1)/('macs_ips'!$E$2:$E$403=$J$1),ROW(A154))),"")</f>
        <v/>
      </c>
      <c r="F156" s="41">
        <f>IFERROR(INDEX('macs_ips'!$F$2:$F$403,AGGREGATE(15,6,(ROW('macs_ips'!$A$2:$A$403)-ROW(INDEX('macs_ips'!$A$2:$A$403,1,1))+1)/('macs_ips'!$E$2:$E$403=$J$1),ROW(A154))),"")</f>
        <v/>
      </c>
      <c r="G156" s="40">
        <f>IFERROR(INDEX('macs_ips'!$G$2:$G$403,AGGREGATE(15,6,(ROW('macs_ips'!$A$2:$A$403)-ROW(INDEX('macs_ips'!$A$2:$A$403,1,1))+1)/('macs_ips'!$E$2:$E$403=$J$1),ROW(A154))),"")</f>
        <v/>
      </c>
    </row>
    <row r="157">
      <c r="A157" s="40">
        <f>IFERROR(INDEX('macs_ips'!$A$2:$A$403,AGGREGATE(15,6,(ROW('macs_ips'!$A$2:$A$403)-ROW(INDEX('macs_ips'!$A$2:$A$403,1,1))+1)/('macs_ips'!$E$2:$E$403=$J$1),ROW(A155))),"")</f>
        <v/>
      </c>
      <c r="B157" s="40">
        <f>IFERROR(INDEX('macs_ips'!$B$2:$B$403,AGGREGATE(15,6,(ROW('macs_ips'!$A$2:$A$403)-ROW(INDEX('macs_ips'!$A$2:$A$403,1,1))+1)/('macs_ips'!$E$2:$E$403=$J$1),ROW(A155))),"")</f>
        <v/>
      </c>
      <c r="C157" s="40">
        <f>IFERROR(INDEX('macs_ips'!$C$2:$C$403,AGGREGATE(15,6,(ROW('macs_ips'!$A$2:$A$403)-ROW(INDEX('macs_ips'!$A$2:$A$403,1,1))+1)/('macs_ips'!$E$2:$E$403=$J$1),ROW(A155))),"")</f>
        <v/>
      </c>
      <c r="D157" s="41">
        <f>IFERROR(INDEX('macs_ips'!$D$2:$D$403,AGGREGATE(15,6,(ROW('macs_ips'!$A$2:$A$403)-ROW(INDEX('macs_ips'!$A$2:$A$403,1,1))+1)/('macs_ips'!$E$2:$E$403=$J$1),ROW(A155))),"")</f>
        <v/>
      </c>
      <c r="E157" s="40">
        <f>IFERROR(INDEX('macs_ips'!$E$2:$E$403,AGGREGATE(15,6,(ROW('macs_ips'!$A$2:$A$403)-ROW(INDEX('macs_ips'!$A$2:$A$403,1,1))+1)/('macs_ips'!$E$2:$E$403=$J$1),ROW(A155))),"")</f>
        <v/>
      </c>
      <c r="F157" s="41">
        <f>IFERROR(INDEX('macs_ips'!$F$2:$F$403,AGGREGATE(15,6,(ROW('macs_ips'!$A$2:$A$403)-ROW(INDEX('macs_ips'!$A$2:$A$403,1,1))+1)/('macs_ips'!$E$2:$E$403=$J$1),ROW(A155))),"")</f>
        <v/>
      </c>
      <c r="G157" s="40">
        <f>IFERROR(INDEX('macs_ips'!$G$2:$G$403,AGGREGATE(15,6,(ROW('macs_ips'!$A$2:$A$403)-ROW(INDEX('macs_ips'!$A$2:$A$403,1,1))+1)/('macs_ips'!$E$2:$E$403=$J$1),ROW(A155))),"")</f>
        <v/>
      </c>
    </row>
    <row r="158">
      <c r="A158" s="40">
        <f>IFERROR(INDEX('macs_ips'!$A$2:$A$403,AGGREGATE(15,6,(ROW('macs_ips'!$A$2:$A$403)-ROW(INDEX('macs_ips'!$A$2:$A$403,1,1))+1)/('macs_ips'!$E$2:$E$403=$J$1),ROW(A156))),"")</f>
        <v/>
      </c>
      <c r="B158" s="40">
        <f>IFERROR(INDEX('macs_ips'!$B$2:$B$403,AGGREGATE(15,6,(ROW('macs_ips'!$A$2:$A$403)-ROW(INDEX('macs_ips'!$A$2:$A$403,1,1))+1)/('macs_ips'!$E$2:$E$403=$J$1),ROW(A156))),"")</f>
        <v/>
      </c>
      <c r="C158" s="40">
        <f>IFERROR(INDEX('macs_ips'!$C$2:$C$403,AGGREGATE(15,6,(ROW('macs_ips'!$A$2:$A$403)-ROW(INDEX('macs_ips'!$A$2:$A$403,1,1))+1)/('macs_ips'!$E$2:$E$403=$J$1),ROW(A156))),"")</f>
        <v/>
      </c>
      <c r="D158" s="41">
        <f>IFERROR(INDEX('macs_ips'!$D$2:$D$403,AGGREGATE(15,6,(ROW('macs_ips'!$A$2:$A$403)-ROW(INDEX('macs_ips'!$A$2:$A$403,1,1))+1)/('macs_ips'!$E$2:$E$403=$J$1),ROW(A156))),"")</f>
        <v/>
      </c>
      <c r="E158" s="40">
        <f>IFERROR(INDEX('macs_ips'!$E$2:$E$403,AGGREGATE(15,6,(ROW('macs_ips'!$A$2:$A$403)-ROW(INDEX('macs_ips'!$A$2:$A$403,1,1))+1)/('macs_ips'!$E$2:$E$403=$J$1),ROW(A156))),"")</f>
        <v/>
      </c>
      <c r="F158" s="41">
        <f>IFERROR(INDEX('macs_ips'!$F$2:$F$403,AGGREGATE(15,6,(ROW('macs_ips'!$A$2:$A$403)-ROW(INDEX('macs_ips'!$A$2:$A$403,1,1))+1)/('macs_ips'!$E$2:$E$403=$J$1),ROW(A156))),"")</f>
        <v/>
      </c>
      <c r="G158" s="40">
        <f>IFERROR(INDEX('macs_ips'!$G$2:$G$403,AGGREGATE(15,6,(ROW('macs_ips'!$A$2:$A$403)-ROW(INDEX('macs_ips'!$A$2:$A$403,1,1))+1)/('macs_ips'!$E$2:$E$403=$J$1),ROW(A156))),"")</f>
        <v/>
      </c>
    </row>
    <row r="159">
      <c r="A159" s="40">
        <f>IFERROR(INDEX('macs_ips'!$A$2:$A$403,AGGREGATE(15,6,(ROW('macs_ips'!$A$2:$A$403)-ROW(INDEX('macs_ips'!$A$2:$A$403,1,1))+1)/('macs_ips'!$E$2:$E$403=$J$1),ROW(A157))),"")</f>
        <v/>
      </c>
      <c r="B159" s="40">
        <f>IFERROR(INDEX('macs_ips'!$B$2:$B$403,AGGREGATE(15,6,(ROW('macs_ips'!$A$2:$A$403)-ROW(INDEX('macs_ips'!$A$2:$A$403,1,1))+1)/('macs_ips'!$E$2:$E$403=$J$1),ROW(A157))),"")</f>
        <v/>
      </c>
      <c r="C159" s="40">
        <f>IFERROR(INDEX('macs_ips'!$C$2:$C$403,AGGREGATE(15,6,(ROW('macs_ips'!$A$2:$A$403)-ROW(INDEX('macs_ips'!$A$2:$A$403,1,1))+1)/('macs_ips'!$E$2:$E$403=$J$1),ROW(A157))),"")</f>
        <v/>
      </c>
      <c r="D159" s="41">
        <f>IFERROR(INDEX('macs_ips'!$D$2:$D$403,AGGREGATE(15,6,(ROW('macs_ips'!$A$2:$A$403)-ROW(INDEX('macs_ips'!$A$2:$A$403,1,1))+1)/('macs_ips'!$E$2:$E$403=$J$1),ROW(A157))),"")</f>
        <v/>
      </c>
      <c r="E159" s="40">
        <f>IFERROR(INDEX('macs_ips'!$E$2:$E$403,AGGREGATE(15,6,(ROW('macs_ips'!$A$2:$A$403)-ROW(INDEX('macs_ips'!$A$2:$A$403,1,1))+1)/('macs_ips'!$E$2:$E$403=$J$1),ROW(A157))),"")</f>
        <v/>
      </c>
      <c r="F159" s="41">
        <f>IFERROR(INDEX('macs_ips'!$F$2:$F$403,AGGREGATE(15,6,(ROW('macs_ips'!$A$2:$A$403)-ROW(INDEX('macs_ips'!$A$2:$A$403,1,1))+1)/('macs_ips'!$E$2:$E$403=$J$1),ROW(A157))),"")</f>
        <v/>
      </c>
      <c r="G159" s="40">
        <f>IFERROR(INDEX('macs_ips'!$G$2:$G$403,AGGREGATE(15,6,(ROW('macs_ips'!$A$2:$A$403)-ROW(INDEX('macs_ips'!$A$2:$A$403,1,1))+1)/('macs_ips'!$E$2:$E$403=$J$1),ROW(A157))),"")</f>
        <v/>
      </c>
    </row>
    <row r="160">
      <c r="A160" s="40">
        <f>IFERROR(INDEX('macs_ips'!$A$2:$A$403,AGGREGATE(15,6,(ROW('macs_ips'!$A$2:$A$403)-ROW(INDEX('macs_ips'!$A$2:$A$403,1,1))+1)/('macs_ips'!$E$2:$E$403=$J$1),ROW(A158))),"")</f>
        <v/>
      </c>
      <c r="B160" s="40">
        <f>IFERROR(INDEX('macs_ips'!$B$2:$B$403,AGGREGATE(15,6,(ROW('macs_ips'!$A$2:$A$403)-ROW(INDEX('macs_ips'!$A$2:$A$403,1,1))+1)/('macs_ips'!$E$2:$E$403=$J$1),ROW(A158))),"")</f>
        <v/>
      </c>
      <c r="C160" s="40">
        <f>IFERROR(INDEX('macs_ips'!$C$2:$C$403,AGGREGATE(15,6,(ROW('macs_ips'!$A$2:$A$403)-ROW(INDEX('macs_ips'!$A$2:$A$403,1,1))+1)/('macs_ips'!$E$2:$E$403=$J$1),ROW(A158))),"")</f>
        <v/>
      </c>
      <c r="D160" s="41">
        <f>IFERROR(INDEX('macs_ips'!$D$2:$D$403,AGGREGATE(15,6,(ROW('macs_ips'!$A$2:$A$403)-ROW(INDEX('macs_ips'!$A$2:$A$403,1,1))+1)/('macs_ips'!$E$2:$E$403=$J$1),ROW(A158))),"")</f>
        <v/>
      </c>
      <c r="E160" s="40">
        <f>IFERROR(INDEX('macs_ips'!$E$2:$E$403,AGGREGATE(15,6,(ROW('macs_ips'!$A$2:$A$403)-ROW(INDEX('macs_ips'!$A$2:$A$403,1,1))+1)/('macs_ips'!$E$2:$E$403=$J$1),ROW(A158))),"")</f>
        <v/>
      </c>
      <c r="F160" s="41">
        <f>IFERROR(INDEX('macs_ips'!$F$2:$F$403,AGGREGATE(15,6,(ROW('macs_ips'!$A$2:$A$403)-ROW(INDEX('macs_ips'!$A$2:$A$403,1,1))+1)/('macs_ips'!$E$2:$E$403=$J$1),ROW(A158))),"")</f>
        <v/>
      </c>
      <c r="G160" s="40">
        <f>IFERROR(INDEX('macs_ips'!$G$2:$G$403,AGGREGATE(15,6,(ROW('macs_ips'!$A$2:$A$403)-ROW(INDEX('macs_ips'!$A$2:$A$403,1,1))+1)/('macs_ips'!$E$2:$E$403=$J$1),ROW(A158))),"")</f>
        <v/>
      </c>
    </row>
    <row r="161">
      <c r="A161" s="40">
        <f>IFERROR(INDEX('macs_ips'!$A$2:$A$403,AGGREGATE(15,6,(ROW('macs_ips'!$A$2:$A$403)-ROW(INDEX('macs_ips'!$A$2:$A$403,1,1))+1)/('macs_ips'!$E$2:$E$403=$J$1),ROW(A159))),"")</f>
        <v/>
      </c>
      <c r="B161" s="40">
        <f>IFERROR(INDEX('macs_ips'!$B$2:$B$403,AGGREGATE(15,6,(ROW('macs_ips'!$A$2:$A$403)-ROW(INDEX('macs_ips'!$A$2:$A$403,1,1))+1)/('macs_ips'!$E$2:$E$403=$J$1),ROW(A159))),"")</f>
        <v/>
      </c>
      <c r="C161" s="40">
        <f>IFERROR(INDEX('macs_ips'!$C$2:$C$403,AGGREGATE(15,6,(ROW('macs_ips'!$A$2:$A$403)-ROW(INDEX('macs_ips'!$A$2:$A$403,1,1))+1)/('macs_ips'!$E$2:$E$403=$J$1),ROW(A159))),"")</f>
        <v/>
      </c>
      <c r="D161" s="41">
        <f>IFERROR(INDEX('macs_ips'!$D$2:$D$403,AGGREGATE(15,6,(ROW('macs_ips'!$A$2:$A$403)-ROW(INDEX('macs_ips'!$A$2:$A$403,1,1))+1)/('macs_ips'!$E$2:$E$403=$J$1),ROW(A159))),"")</f>
        <v/>
      </c>
      <c r="E161" s="40">
        <f>IFERROR(INDEX('macs_ips'!$E$2:$E$403,AGGREGATE(15,6,(ROW('macs_ips'!$A$2:$A$403)-ROW(INDEX('macs_ips'!$A$2:$A$403,1,1))+1)/('macs_ips'!$E$2:$E$403=$J$1),ROW(A159))),"")</f>
        <v/>
      </c>
      <c r="F161" s="41">
        <f>IFERROR(INDEX('macs_ips'!$F$2:$F$403,AGGREGATE(15,6,(ROW('macs_ips'!$A$2:$A$403)-ROW(INDEX('macs_ips'!$A$2:$A$403,1,1))+1)/('macs_ips'!$E$2:$E$403=$J$1),ROW(A159))),"")</f>
        <v/>
      </c>
      <c r="G161" s="40">
        <f>IFERROR(INDEX('macs_ips'!$G$2:$G$403,AGGREGATE(15,6,(ROW('macs_ips'!$A$2:$A$403)-ROW(INDEX('macs_ips'!$A$2:$A$403,1,1))+1)/('macs_ips'!$E$2:$E$403=$J$1),ROW(A159))),"")</f>
        <v/>
      </c>
    </row>
    <row r="162">
      <c r="A162" s="40">
        <f>IFERROR(INDEX('macs_ips'!$A$2:$A$403,AGGREGATE(15,6,(ROW('macs_ips'!$A$2:$A$403)-ROW(INDEX('macs_ips'!$A$2:$A$403,1,1))+1)/('macs_ips'!$E$2:$E$403=$J$1),ROW(A160))),"")</f>
        <v/>
      </c>
      <c r="B162" s="40">
        <f>IFERROR(INDEX('macs_ips'!$B$2:$B$403,AGGREGATE(15,6,(ROW('macs_ips'!$A$2:$A$403)-ROW(INDEX('macs_ips'!$A$2:$A$403,1,1))+1)/('macs_ips'!$E$2:$E$403=$J$1),ROW(A160))),"")</f>
        <v/>
      </c>
      <c r="C162" s="40">
        <f>IFERROR(INDEX('macs_ips'!$C$2:$C$403,AGGREGATE(15,6,(ROW('macs_ips'!$A$2:$A$403)-ROW(INDEX('macs_ips'!$A$2:$A$403,1,1))+1)/('macs_ips'!$E$2:$E$403=$J$1),ROW(A160))),"")</f>
        <v/>
      </c>
      <c r="D162" s="41">
        <f>IFERROR(INDEX('macs_ips'!$D$2:$D$403,AGGREGATE(15,6,(ROW('macs_ips'!$A$2:$A$403)-ROW(INDEX('macs_ips'!$A$2:$A$403,1,1))+1)/('macs_ips'!$E$2:$E$403=$J$1),ROW(A160))),"")</f>
        <v/>
      </c>
      <c r="E162" s="40">
        <f>IFERROR(INDEX('macs_ips'!$E$2:$E$403,AGGREGATE(15,6,(ROW('macs_ips'!$A$2:$A$403)-ROW(INDEX('macs_ips'!$A$2:$A$403,1,1))+1)/('macs_ips'!$E$2:$E$403=$J$1),ROW(A160))),"")</f>
        <v/>
      </c>
      <c r="F162" s="41">
        <f>IFERROR(INDEX('macs_ips'!$F$2:$F$403,AGGREGATE(15,6,(ROW('macs_ips'!$A$2:$A$403)-ROW(INDEX('macs_ips'!$A$2:$A$403,1,1))+1)/('macs_ips'!$E$2:$E$403=$J$1),ROW(A160))),"")</f>
        <v/>
      </c>
      <c r="G162" s="40">
        <f>IFERROR(INDEX('macs_ips'!$G$2:$G$403,AGGREGATE(15,6,(ROW('macs_ips'!$A$2:$A$403)-ROW(INDEX('macs_ips'!$A$2:$A$403,1,1))+1)/('macs_ips'!$E$2:$E$403=$J$1),ROW(A160))),"")</f>
        <v/>
      </c>
    </row>
    <row r="163">
      <c r="A163" s="40">
        <f>IFERROR(INDEX('macs_ips'!$A$2:$A$403,AGGREGATE(15,6,(ROW('macs_ips'!$A$2:$A$403)-ROW(INDEX('macs_ips'!$A$2:$A$403,1,1))+1)/('macs_ips'!$E$2:$E$403=$J$1),ROW(A161))),"")</f>
        <v/>
      </c>
      <c r="B163" s="40">
        <f>IFERROR(INDEX('macs_ips'!$B$2:$B$403,AGGREGATE(15,6,(ROW('macs_ips'!$A$2:$A$403)-ROW(INDEX('macs_ips'!$A$2:$A$403,1,1))+1)/('macs_ips'!$E$2:$E$403=$J$1),ROW(A161))),"")</f>
        <v/>
      </c>
      <c r="C163" s="40">
        <f>IFERROR(INDEX('macs_ips'!$C$2:$C$403,AGGREGATE(15,6,(ROW('macs_ips'!$A$2:$A$403)-ROW(INDEX('macs_ips'!$A$2:$A$403,1,1))+1)/('macs_ips'!$E$2:$E$403=$J$1),ROW(A161))),"")</f>
        <v/>
      </c>
      <c r="D163" s="41">
        <f>IFERROR(INDEX('macs_ips'!$D$2:$D$403,AGGREGATE(15,6,(ROW('macs_ips'!$A$2:$A$403)-ROW(INDEX('macs_ips'!$A$2:$A$403,1,1))+1)/('macs_ips'!$E$2:$E$403=$J$1),ROW(A161))),"")</f>
        <v/>
      </c>
      <c r="E163" s="40">
        <f>IFERROR(INDEX('macs_ips'!$E$2:$E$403,AGGREGATE(15,6,(ROW('macs_ips'!$A$2:$A$403)-ROW(INDEX('macs_ips'!$A$2:$A$403,1,1))+1)/('macs_ips'!$E$2:$E$403=$J$1),ROW(A161))),"")</f>
        <v/>
      </c>
      <c r="F163" s="41">
        <f>IFERROR(INDEX('macs_ips'!$F$2:$F$403,AGGREGATE(15,6,(ROW('macs_ips'!$A$2:$A$403)-ROW(INDEX('macs_ips'!$A$2:$A$403,1,1))+1)/('macs_ips'!$E$2:$E$403=$J$1),ROW(A161))),"")</f>
        <v/>
      </c>
      <c r="G163" s="40">
        <f>IFERROR(INDEX('macs_ips'!$G$2:$G$403,AGGREGATE(15,6,(ROW('macs_ips'!$A$2:$A$403)-ROW(INDEX('macs_ips'!$A$2:$A$403,1,1))+1)/('macs_ips'!$E$2:$E$403=$J$1),ROW(A161))),"")</f>
        <v/>
      </c>
    </row>
    <row r="164">
      <c r="A164" s="40">
        <f>IFERROR(INDEX('macs_ips'!$A$2:$A$403,AGGREGATE(15,6,(ROW('macs_ips'!$A$2:$A$403)-ROW(INDEX('macs_ips'!$A$2:$A$403,1,1))+1)/('macs_ips'!$E$2:$E$403=$J$1),ROW(A162))),"")</f>
        <v/>
      </c>
      <c r="B164" s="40">
        <f>IFERROR(INDEX('macs_ips'!$B$2:$B$403,AGGREGATE(15,6,(ROW('macs_ips'!$A$2:$A$403)-ROW(INDEX('macs_ips'!$A$2:$A$403,1,1))+1)/('macs_ips'!$E$2:$E$403=$J$1),ROW(A162))),"")</f>
        <v/>
      </c>
      <c r="C164" s="40">
        <f>IFERROR(INDEX('macs_ips'!$C$2:$C$403,AGGREGATE(15,6,(ROW('macs_ips'!$A$2:$A$403)-ROW(INDEX('macs_ips'!$A$2:$A$403,1,1))+1)/('macs_ips'!$E$2:$E$403=$J$1),ROW(A162))),"")</f>
        <v/>
      </c>
      <c r="D164" s="41">
        <f>IFERROR(INDEX('macs_ips'!$D$2:$D$403,AGGREGATE(15,6,(ROW('macs_ips'!$A$2:$A$403)-ROW(INDEX('macs_ips'!$A$2:$A$403,1,1))+1)/('macs_ips'!$E$2:$E$403=$J$1),ROW(A162))),"")</f>
        <v/>
      </c>
      <c r="E164" s="40">
        <f>IFERROR(INDEX('macs_ips'!$E$2:$E$403,AGGREGATE(15,6,(ROW('macs_ips'!$A$2:$A$403)-ROW(INDEX('macs_ips'!$A$2:$A$403,1,1))+1)/('macs_ips'!$E$2:$E$403=$J$1),ROW(A162))),"")</f>
        <v/>
      </c>
      <c r="F164" s="41">
        <f>IFERROR(INDEX('macs_ips'!$F$2:$F$403,AGGREGATE(15,6,(ROW('macs_ips'!$A$2:$A$403)-ROW(INDEX('macs_ips'!$A$2:$A$403,1,1))+1)/('macs_ips'!$E$2:$E$403=$J$1),ROW(A162))),"")</f>
        <v/>
      </c>
      <c r="G164" s="40">
        <f>IFERROR(INDEX('macs_ips'!$G$2:$G$403,AGGREGATE(15,6,(ROW('macs_ips'!$A$2:$A$403)-ROW(INDEX('macs_ips'!$A$2:$A$403,1,1))+1)/('macs_ips'!$E$2:$E$403=$J$1),ROW(A162))),"")</f>
        <v/>
      </c>
    </row>
    <row r="165">
      <c r="A165" s="40">
        <f>IFERROR(INDEX('macs_ips'!$A$2:$A$403,AGGREGATE(15,6,(ROW('macs_ips'!$A$2:$A$403)-ROW(INDEX('macs_ips'!$A$2:$A$403,1,1))+1)/('macs_ips'!$E$2:$E$403=$J$1),ROW(A163))),"")</f>
        <v/>
      </c>
      <c r="B165" s="40">
        <f>IFERROR(INDEX('macs_ips'!$B$2:$B$403,AGGREGATE(15,6,(ROW('macs_ips'!$A$2:$A$403)-ROW(INDEX('macs_ips'!$A$2:$A$403,1,1))+1)/('macs_ips'!$E$2:$E$403=$J$1),ROW(A163))),"")</f>
        <v/>
      </c>
      <c r="C165" s="40">
        <f>IFERROR(INDEX('macs_ips'!$C$2:$C$403,AGGREGATE(15,6,(ROW('macs_ips'!$A$2:$A$403)-ROW(INDEX('macs_ips'!$A$2:$A$403,1,1))+1)/('macs_ips'!$E$2:$E$403=$J$1),ROW(A163))),"")</f>
        <v/>
      </c>
      <c r="D165" s="41">
        <f>IFERROR(INDEX('macs_ips'!$D$2:$D$403,AGGREGATE(15,6,(ROW('macs_ips'!$A$2:$A$403)-ROW(INDEX('macs_ips'!$A$2:$A$403,1,1))+1)/('macs_ips'!$E$2:$E$403=$J$1),ROW(A163))),"")</f>
        <v/>
      </c>
      <c r="E165" s="40">
        <f>IFERROR(INDEX('macs_ips'!$E$2:$E$403,AGGREGATE(15,6,(ROW('macs_ips'!$A$2:$A$403)-ROW(INDEX('macs_ips'!$A$2:$A$403,1,1))+1)/('macs_ips'!$E$2:$E$403=$J$1),ROW(A163))),"")</f>
        <v/>
      </c>
      <c r="F165" s="41">
        <f>IFERROR(INDEX('macs_ips'!$F$2:$F$403,AGGREGATE(15,6,(ROW('macs_ips'!$A$2:$A$403)-ROW(INDEX('macs_ips'!$A$2:$A$403,1,1))+1)/('macs_ips'!$E$2:$E$403=$J$1),ROW(A163))),"")</f>
        <v/>
      </c>
      <c r="G165" s="40">
        <f>IFERROR(INDEX('macs_ips'!$G$2:$G$403,AGGREGATE(15,6,(ROW('macs_ips'!$A$2:$A$403)-ROW(INDEX('macs_ips'!$A$2:$A$403,1,1))+1)/('macs_ips'!$E$2:$E$403=$J$1),ROW(A163))),"")</f>
        <v/>
      </c>
    </row>
    <row r="166">
      <c r="A166" s="40">
        <f>IFERROR(INDEX('macs_ips'!$A$2:$A$403,AGGREGATE(15,6,(ROW('macs_ips'!$A$2:$A$403)-ROW(INDEX('macs_ips'!$A$2:$A$403,1,1))+1)/('macs_ips'!$E$2:$E$403=$J$1),ROW(A164))),"")</f>
        <v/>
      </c>
      <c r="B166" s="40">
        <f>IFERROR(INDEX('macs_ips'!$B$2:$B$403,AGGREGATE(15,6,(ROW('macs_ips'!$A$2:$A$403)-ROW(INDEX('macs_ips'!$A$2:$A$403,1,1))+1)/('macs_ips'!$E$2:$E$403=$J$1),ROW(A164))),"")</f>
        <v/>
      </c>
      <c r="C166" s="40">
        <f>IFERROR(INDEX('macs_ips'!$C$2:$C$403,AGGREGATE(15,6,(ROW('macs_ips'!$A$2:$A$403)-ROW(INDEX('macs_ips'!$A$2:$A$403,1,1))+1)/('macs_ips'!$E$2:$E$403=$J$1),ROW(A164))),"")</f>
        <v/>
      </c>
      <c r="D166" s="41">
        <f>IFERROR(INDEX('macs_ips'!$D$2:$D$403,AGGREGATE(15,6,(ROW('macs_ips'!$A$2:$A$403)-ROW(INDEX('macs_ips'!$A$2:$A$403,1,1))+1)/('macs_ips'!$E$2:$E$403=$J$1),ROW(A164))),"")</f>
        <v/>
      </c>
      <c r="E166" s="40">
        <f>IFERROR(INDEX('macs_ips'!$E$2:$E$403,AGGREGATE(15,6,(ROW('macs_ips'!$A$2:$A$403)-ROW(INDEX('macs_ips'!$A$2:$A$403,1,1))+1)/('macs_ips'!$E$2:$E$403=$J$1),ROW(A164))),"")</f>
        <v/>
      </c>
      <c r="F166" s="41">
        <f>IFERROR(INDEX('macs_ips'!$F$2:$F$403,AGGREGATE(15,6,(ROW('macs_ips'!$A$2:$A$403)-ROW(INDEX('macs_ips'!$A$2:$A$403,1,1))+1)/('macs_ips'!$E$2:$E$403=$J$1),ROW(A164))),"")</f>
        <v/>
      </c>
      <c r="G166" s="40">
        <f>IFERROR(INDEX('macs_ips'!$G$2:$G$403,AGGREGATE(15,6,(ROW('macs_ips'!$A$2:$A$403)-ROW(INDEX('macs_ips'!$A$2:$A$403,1,1))+1)/('macs_ips'!$E$2:$E$403=$J$1),ROW(A164))),"")</f>
        <v/>
      </c>
    </row>
    <row r="167">
      <c r="A167" s="40">
        <f>IFERROR(INDEX('macs_ips'!$A$2:$A$403,AGGREGATE(15,6,(ROW('macs_ips'!$A$2:$A$403)-ROW(INDEX('macs_ips'!$A$2:$A$403,1,1))+1)/('macs_ips'!$E$2:$E$403=$J$1),ROW(A165))),"")</f>
        <v/>
      </c>
      <c r="B167" s="40">
        <f>IFERROR(INDEX('macs_ips'!$B$2:$B$403,AGGREGATE(15,6,(ROW('macs_ips'!$A$2:$A$403)-ROW(INDEX('macs_ips'!$A$2:$A$403,1,1))+1)/('macs_ips'!$E$2:$E$403=$J$1),ROW(A165))),"")</f>
        <v/>
      </c>
      <c r="C167" s="40">
        <f>IFERROR(INDEX('macs_ips'!$C$2:$C$403,AGGREGATE(15,6,(ROW('macs_ips'!$A$2:$A$403)-ROW(INDEX('macs_ips'!$A$2:$A$403,1,1))+1)/('macs_ips'!$E$2:$E$403=$J$1),ROW(A165))),"")</f>
        <v/>
      </c>
      <c r="D167" s="41">
        <f>IFERROR(INDEX('macs_ips'!$D$2:$D$403,AGGREGATE(15,6,(ROW('macs_ips'!$A$2:$A$403)-ROW(INDEX('macs_ips'!$A$2:$A$403,1,1))+1)/('macs_ips'!$E$2:$E$403=$J$1),ROW(A165))),"")</f>
        <v/>
      </c>
      <c r="E167" s="40">
        <f>IFERROR(INDEX('macs_ips'!$E$2:$E$403,AGGREGATE(15,6,(ROW('macs_ips'!$A$2:$A$403)-ROW(INDEX('macs_ips'!$A$2:$A$403,1,1))+1)/('macs_ips'!$E$2:$E$403=$J$1),ROW(A165))),"")</f>
        <v/>
      </c>
      <c r="F167" s="41">
        <f>IFERROR(INDEX('macs_ips'!$F$2:$F$403,AGGREGATE(15,6,(ROW('macs_ips'!$A$2:$A$403)-ROW(INDEX('macs_ips'!$A$2:$A$403,1,1))+1)/('macs_ips'!$E$2:$E$403=$J$1),ROW(A165))),"")</f>
        <v/>
      </c>
      <c r="G167" s="40">
        <f>IFERROR(INDEX('macs_ips'!$G$2:$G$403,AGGREGATE(15,6,(ROW('macs_ips'!$A$2:$A$403)-ROW(INDEX('macs_ips'!$A$2:$A$403,1,1))+1)/('macs_ips'!$E$2:$E$403=$J$1),ROW(A165))),"")</f>
        <v/>
      </c>
    </row>
    <row r="168">
      <c r="A168" s="40">
        <f>IFERROR(INDEX('macs_ips'!$A$2:$A$403,AGGREGATE(15,6,(ROW('macs_ips'!$A$2:$A$403)-ROW(INDEX('macs_ips'!$A$2:$A$403,1,1))+1)/('macs_ips'!$E$2:$E$403=$J$1),ROW(A166))),"")</f>
        <v/>
      </c>
      <c r="B168" s="40">
        <f>IFERROR(INDEX('macs_ips'!$B$2:$B$403,AGGREGATE(15,6,(ROW('macs_ips'!$A$2:$A$403)-ROW(INDEX('macs_ips'!$A$2:$A$403,1,1))+1)/('macs_ips'!$E$2:$E$403=$J$1),ROW(A166))),"")</f>
        <v/>
      </c>
      <c r="C168" s="40">
        <f>IFERROR(INDEX('macs_ips'!$C$2:$C$403,AGGREGATE(15,6,(ROW('macs_ips'!$A$2:$A$403)-ROW(INDEX('macs_ips'!$A$2:$A$403,1,1))+1)/('macs_ips'!$E$2:$E$403=$J$1),ROW(A166))),"")</f>
        <v/>
      </c>
      <c r="D168" s="41">
        <f>IFERROR(INDEX('macs_ips'!$D$2:$D$403,AGGREGATE(15,6,(ROW('macs_ips'!$A$2:$A$403)-ROW(INDEX('macs_ips'!$A$2:$A$403,1,1))+1)/('macs_ips'!$E$2:$E$403=$J$1),ROW(A166))),"")</f>
        <v/>
      </c>
      <c r="E168" s="40">
        <f>IFERROR(INDEX('macs_ips'!$E$2:$E$403,AGGREGATE(15,6,(ROW('macs_ips'!$A$2:$A$403)-ROW(INDEX('macs_ips'!$A$2:$A$403,1,1))+1)/('macs_ips'!$E$2:$E$403=$J$1),ROW(A166))),"")</f>
        <v/>
      </c>
      <c r="F168" s="41">
        <f>IFERROR(INDEX('macs_ips'!$F$2:$F$403,AGGREGATE(15,6,(ROW('macs_ips'!$A$2:$A$403)-ROW(INDEX('macs_ips'!$A$2:$A$403,1,1))+1)/('macs_ips'!$E$2:$E$403=$J$1),ROW(A166))),"")</f>
        <v/>
      </c>
      <c r="G168" s="40">
        <f>IFERROR(INDEX('macs_ips'!$G$2:$G$403,AGGREGATE(15,6,(ROW('macs_ips'!$A$2:$A$403)-ROW(INDEX('macs_ips'!$A$2:$A$403,1,1))+1)/('macs_ips'!$E$2:$E$403=$J$1),ROW(A166))),"")</f>
        <v/>
      </c>
    </row>
    <row r="169">
      <c r="A169" s="40">
        <f>IFERROR(INDEX('macs_ips'!$A$2:$A$403,AGGREGATE(15,6,(ROW('macs_ips'!$A$2:$A$403)-ROW(INDEX('macs_ips'!$A$2:$A$403,1,1))+1)/('macs_ips'!$E$2:$E$403=$J$1),ROW(A167))),"")</f>
        <v/>
      </c>
      <c r="B169" s="40">
        <f>IFERROR(INDEX('macs_ips'!$B$2:$B$403,AGGREGATE(15,6,(ROW('macs_ips'!$A$2:$A$403)-ROW(INDEX('macs_ips'!$A$2:$A$403,1,1))+1)/('macs_ips'!$E$2:$E$403=$J$1),ROW(A167))),"")</f>
        <v/>
      </c>
      <c r="C169" s="40">
        <f>IFERROR(INDEX('macs_ips'!$C$2:$C$403,AGGREGATE(15,6,(ROW('macs_ips'!$A$2:$A$403)-ROW(INDEX('macs_ips'!$A$2:$A$403,1,1))+1)/('macs_ips'!$E$2:$E$403=$J$1),ROW(A167))),"")</f>
        <v/>
      </c>
      <c r="D169" s="41">
        <f>IFERROR(INDEX('macs_ips'!$D$2:$D$403,AGGREGATE(15,6,(ROW('macs_ips'!$A$2:$A$403)-ROW(INDEX('macs_ips'!$A$2:$A$403,1,1))+1)/('macs_ips'!$E$2:$E$403=$J$1),ROW(A167))),"")</f>
        <v/>
      </c>
      <c r="E169" s="40">
        <f>IFERROR(INDEX('macs_ips'!$E$2:$E$403,AGGREGATE(15,6,(ROW('macs_ips'!$A$2:$A$403)-ROW(INDEX('macs_ips'!$A$2:$A$403,1,1))+1)/('macs_ips'!$E$2:$E$403=$J$1),ROW(A167))),"")</f>
        <v/>
      </c>
      <c r="F169" s="41">
        <f>IFERROR(INDEX('macs_ips'!$F$2:$F$403,AGGREGATE(15,6,(ROW('macs_ips'!$A$2:$A$403)-ROW(INDEX('macs_ips'!$A$2:$A$403,1,1))+1)/('macs_ips'!$E$2:$E$403=$J$1),ROW(A167))),"")</f>
        <v/>
      </c>
      <c r="G169" s="40">
        <f>IFERROR(INDEX('macs_ips'!$G$2:$G$403,AGGREGATE(15,6,(ROW('macs_ips'!$A$2:$A$403)-ROW(INDEX('macs_ips'!$A$2:$A$403,1,1))+1)/('macs_ips'!$E$2:$E$403=$J$1),ROW(A167))),"")</f>
        <v/>
      </c>
    </row>
    <row r="170">
      <c r="A170" s="40">
        <f>IFERROR(INDEX('macs_ips'!$A$2:$A$403,AGGREGATE(15,6,(ROW('macs_ips'!$A$2:$A$403)-ROW(INDEX('macs_ips'!$A$2:$A$403,1,1))+1)/('macs_ips'!$E$2:$E$403=$J$1),ROW(A168))),"")</f>
        <v/>
      </c>
      <c r="B170" s="40">
        <f>IFERROR(INDEX('macs_ips'!$B$2:$B$403,AGGREGATE(15,6,(ROW('macs_ips'!$A$2:$A$403)-ROW(INDEX('macs_ips'!$A$2:$A$403,1,1))+1)/('macs_ips'!$E$2:$E$403=$J$1),ROW(A168))),"")</f>
        <v/>
      </c>
      <c r="C170" s="40">
        <f>IFERROR(INDEX('macs_ips'!$C$2:$C$403,AGGREGATE(15,6,(ROW('macs_ips'!$A$2:$A$403)-ROW(INDEX('macs_ips'!$A$2:$A$403,1,1))+1)/('macs_ips'!$E$2:$E$403=$J$1),ROW(A168))),"")</f>
        <v/>
      </c>
      <c r="D170" s="41">
        <f>IFERROR(INDEX('macs_ips'!$D$2:$D$403,AGGREGATE(15,6,(ROW('macs_ips'!$A$2:$A$403)-ROW(INDEX('macs_ips'!$A$2:$A$403,1,1))+1)/('macs_ips'!$E$2:$E$403=$J$1),ROW(A168))),"")</f>
        <v/>
      </c>
      <c r="E170" s="40">
        <f>IFERROR(INDEX('macs_ips'!$E$2:$E$403,AGGREGATE(15,6,(ROW('macs_ips'!$A$2:$A$403)-ROW(INDEX('macs_ips'!$A$2:$A$403,1,1))+1)/('macs_ips'!$E$2:$E$403=$J$1),ROW(A168))),"")</f>
        <v/>
      </c>
      <c r="F170" s="41">
        <f>IFERROR(INDEX('macs_ips'!$F$2:$F$403,AGGREGATE(15,6,(ROW('macs_ips'!$A$2:$A$403)-ROW(INDEX('macs_ips'!$A$2:$A$403,1,1))+1)/('macs_ips'!$E$2:$E$403=$J$1),ROW(A168))),"")</f>
        <v/>
      </c>
      <c r="G170" s="40">
        <f>IFERROR(INDEX('macs_ips'!$G$2:$G$403,AGGREGATE(15,6,(ROW('macs_ips'!$A$2:$A$403)-ROW(INDEX('macs_ips'!$A$2:$A$403,1,1))+1)/('macs_ips'!$E$2:$E$403=$J$1),ROW(A168))),"")</f>
        <v/>
      </c>
    </row>
    <row r="171">
      <c r="A171" s="40">
        <f>IFERROR(INDEX('macs_ips'!$A$2:$A$403,AGGREGATE(15,6,(ROW('macs_ips'!$A$2:$A$403)-ROW(INDEX('macs_ips'!$A$2:$A$403,1,1))+1)/('macs_ips'!$E$2:$E$403=$J$1),ROW(A169))),"")</f>
        <v/>
      </c>
      <c r="B171" s="40">
        <f>IFERROR(INDEX('macs_ips'!$B$2:$B$403,AGGREGATE(15,6,(ROW('macs_ips'!$A$2:$A$403)-ROW(INDEX('macs_ips'!$A$2:$A$403,1,1))+1)/('macs_ips'!$E$2:$E$403=$J$1),ROW(A169))),"")</f>
        <v/>
      </c>
      <c r="C171" s="40">
        <f>IFERROR(INDEX('macs_ips'!$C$2:$C$403,AGGREGATE(15,6,(ROW('macs_ips'!$A$2:$A$403)-ROW(INDEX('macs_ips'!$A$2:$A$403,1,1))+1)/('macs_ips'!$E$2:$E$403=$J$1),ROW(A169))),"")</f>
        <v/>
      </c>
      <c r="D171" s="41">
        <f>IFERROR(INDEX('macs_ips'!$D$2:$D$403,AGGREGATE(15,6,(ROW('macs_ips'!$A$2:$A$403)-ROW(INDEX('macs_ips'!$A$2:$A$403,1,1))+1)/('macs_ips'!$E$2:$E$403=$J$1),ROW(A169))),"")</f>
        <v/>
      </c>
      <c r="E171" s="40">
        <f>IFERROR(INDEX('macs_ips'!$E$2:$E$403,AGGREGATE(15,6,(ROW('macs_ips'!$A$2:$A$403)-ROW(INDEX('macs_ips'!$A$2:$A$403,1,1))+1)/('macs_ips'!$E$2:$E$403=$J$1),ROW(A169))),"")</f>
        <v/>
      </c>
      <c r="F171" s="41">
        <f>IFERROR(INDEX('macs_ips'!$F$2:$F$403,AGGREGATE(15,6,(ROW('macs_ips'!$A$2:$A$403)-ROW(INDEX('macs_ips'!$A$2:$A$403,1,1))+1)/('macs_ips'!$E$2:$E$403=$J$1),ROW(A169))),"")</f>
        <v/>
      </c>
      <c r="G171" s="40">
        <f>IFERROR(INDEX('macs_ips'!$G$2:$G$403,AGGREGATE(15,6,(ROW('macs_ips'!$A$2:$A$403)-ROW(INDEX('macs_ips'!$A$2:$A$403,1,1))+1)/('macs_ips'!$E$2:$E$403=$J$1),ROW(A169))),"")</f>
        <v/>
      </c>
    </row>
    <row r="172">
      <c r="A172" s="40">
        <f>IFERROR(INDEX('macs_ips'!$A$2:$A$403,AGGREGATE(15,6,(ROW('macs_ips'!$A$2:$A$403)-ROW(INDEX('macs_ips'!$A$2:$A$403,1,1))+1)/('macs_ips'!$E$2:$E$403=$J$1),ROW(A170))),"")</f>
        <v/>
      </c>
      <c r="B172" s="40">
        <f>IFERROR(INDEX('macs_ips'!$B$2:$B$403,AGGREGATE(15,6,(ROW('macs_ips'!$A$2:$A$403)-ROW(INDEX('macs_ips'!$A$2:$A$403,1,1))+1)/('macs_ips'!$E$2:$E$403=$J$1),ROW(A170))),"")</f>
        <v/>
      </c>
      <c r="C172" s="40">
        <f>IFERROR(INDEX('macs_ips'!$C$2:$C$403,AGGREGATE(15,6,(ROW('macs_ips'!$A$2:$A$403)-ROW(INDEX('macs_ips'!$A$2:$A$403,1,1))+1)/('macs_ips'!$E$2:$E$403=$J$1),ROW(A170))),"")</f>
        <v/>
      </c>
      <c r="D172" s="41">
        <f>IFERROR(INDEX('macs_ips'!$D$2:$D$403,AGGREGATE(15,6,(ROW('macs_ips'!$A$2:$A$403)-ROW(INDEX('macs_ips'!$A$2:$A$403,1,1))+1)/('macs_ips'!$E$2:$E$403=$J$1),ROW(A170))),"")</f>
        <v/>
      </c>
      <c r="E172" s="40">
        <f>IFERROR(INDEX('macs_ips'!$E$2:$E$403,AGGREGATE(15,6,(ROW('macs_ips'!$A$2:$A$403)-ROW(INDEX('macs_ips'!$A$2:$A$403,1,1))+1)/('macs_ips'!$E$2:$E$403=$J$1),ROW(A170))),"")</f>
        <v/>
      </c>
      <c r="F172" s="41">
        <f>IFERROR(INDEX('macs_ips'!$F$2:$F$403,AGGREGATE(15,6,(ROW('macs_ips'!$A$2:$A$403)-ROW(INDEX('macs_ips'!$A$2:$A$403,1,1))+1)/('macs_ips'!$E$2:$E$403=$J$1),ROW(A170))),"")</f>
        <v/>
      </c>
      <c r="G172" s="40">
        <f>IFERROR(INDEX('macs_ips'!$G$2:$G$403,AGGREGATE(15,6,(ROW('macs_ips'!$A$2:$A$403)-ROW(INDEX('macs_ips'!$A$2:$A$403,1,1))+1)/('macs_ips'!$E$2:$E$403=$J$1),ROW(A170))),"")</f>
        <v/>
      </c>
    </row>
    <row r="173">
      <c r="A173" s="40">
        <f>IFERROR(INDEX('macs_ips'!$A$2:$A$403,AGGREGATE(15,6,(ROW('macs_ips'!$A$2:$A$403)-ROW(INDEX('macs_ips'!$A$2:$A$403,1,1))+1)/('macs_ips'!$E$2:$E$403=$J$1),ROW(A171))),"")</f>
        <v/>
      </c>
      <c r="B173" s="40">
        <f>IFERROR(INDEX('macs_ips'!$B$2:$B$403,AGGREGATE(15,6,(ROW('macs_ips'!$A$2:$A$403)-ROW(INDEX('macs_ips'!$A$2:$A$403,1,1))+1)/('macs_ips'!$E$2:$E$403=$J$1),ROW(A171))),"")</f>
        <v/>
      </c>
      <c r="C173" s="40">
        <f>IFERROR(INDEX('macs_ips'!$C$2:$C$403,AGGREGATE(15,6,(ROW('macs_ips'!$A$2:$A$403)-ROW(INDEX('macs_ips'!$A$2:$A$403,1,1))+1)/('macs_ips'!$E$2:$E$403=$J$1),ROW(A171))),"")</f>
        <v/>
      </c>
      <c r="D173" s="41">
        <f>IFERROR(INDEX('macs_ips'!$D$2:$D$403,AGGREGATE(15,6,(ROW('macs_ips'!$A$2:$A$403)-ROW(INDEX('macs_ips'!$A$2:$A$403,1,1))+1)/('macs_ips'!$E$2:$E$403=$J$1),ROW(A171))),"")</f>
        <v/>
      </c>
      <c r="E173" s="40">
        <f>IFERROR(INDEX('macs_ips'!$E$2:$E$403,AGGREGATE(15,6,(ROW('macs_ips'!$A$2:$A$403)-ROW(INDEX('macs_ips'!$A$2:$A$403,1,1))+1)/('macs_ips'!$E$2:$E$403=$J$1),ROW(A171))),"")</f>
        <v/>
      </c>
      <c r="F173" s="41">
        <f>IFERROR(INDEX('macs_ips'!$F$2:$F$403,AGGREGATE(15,6,(ROW('macs_ips'!$A$2:$A$403)-ROW(INDEX('macs_ips'!$A$2:$A$403,1,1))+1)/('macs_ips'!$E$2:$E$403=$J$1),ROW(A171))),"")</f>
        <v/>
      </c>
      <c r="G173" s="40">
        <f>IFERROR(INDEX('macs_ips'!$G$2:$G$403,AGGREGATE(15,6,(ROW('macs_ips'!$A$2:$A$403)-ROW(INDEX('macs_ips'!$A$2:$A$403,1,1))+1)/('macs_ips'!$E$2:$E$403=$J$1),ROW(A171))),"")</f>
        <v/>
      </c>
    </row>
    <row r="174">
      <c r="A174" s="40">
        <f>IFERROR(INDEX('macs_ips'!$A$2:$A$403,AGGREGATE(15,6,(ROW('macs_ips'!$A$2:$A$403)-ROW(INDEX('macs_ips'!$A$2:$A$403,1,1))+1)/('macs_ips'!$E$2:$E$403=$J$1),ROW(A172))),"")</f>
        <v/>
      </c>
      <c r="B174" s="40">
        <f>IFERROR(INDEX('macs_ips'!$B$2:$B$403,AGGREGATE(15,6,(ROW('macs_ips'!$A$2:$A$403)-ROW(INDEX('macs_ips'!$A$2:$A$403,1,1))+1)/('macs_ips'!$E$2:$E$403=$J$1),ROW(A172))),"")</f>
        <v/>
      </c>
      <c r="C174" s="40">
        <f>IFERROR(INDEX('macs_ips'!$C$2:$C$403,AGGREGATE(15,6,(ROW('macs_ips'!$A$2:$A$403)-ROW(INDEX('macs_ips'!$A$2:$A$403,1,1))+1)/('macs_ips'!$E$2:$E$403=$J$1),ROW(A172))),"")</f>
        <v/>
      </c>
      <c r="D174" s="41">
        <f>IFERROR(INDEX('macs_ips'!$D$2:$D$403,AGGREGATE(15,6,(ROW('macs_ips'!$A$2:$A$403)-ROW(INDEX('macs_ips'!$A$2:$A$403,1,1))+1)/('macs_ips'!$E$2:$E$403=$J$1),ROW(A172))),"")</f>
        <v/>
      </c>
      <c r="E174" s="40">
        <f>IFERROR(INDEX('macs_ips'!$E$2:$E$403,AGGREGATE(15,6,(ROW('macs_ips'!$A$2:$A$403)-ROW(INDEX('macs_ips'!$A$2:$A$403,1,1))+1)/('macs_ips'!$E$2:$E$403=$J$1),ROW(A172))),"")</f>
        <v/>
      </c>
      <c r="F174" s="41">
        <f>IFERROR(INDEX('macs_ips'!$F$2:$F$403,AGGREGATE(15,6,(ROW('macs_ips'!$A$2:$A$403)-ROW(INDEX('macs_ips'!$A$2:$A$403,1,1))+1)/('macs_ips'!$E$2:$E$403=$J$1),ROW(A172))),"")</f>
        <v/>
      </c>
      <c r="G174" s="40">
        <f>IFERROR(INDEX('macs_ips'!$G$2:$G$403,AGGREGATE(15,6,(ROW('macs_ips'!$A$2:$A$403)-ROW(INDEX('macs_ips'!$A$2:$A$403,1,1))+1)/('macs_ips'!$E$2:$E$403=$J$1),ROW(A172))),"")</f>
        <v/>
      </c>
    </row>
    <row r="175">
      <c r="A175" s="40">
        <f>IFERROR(INDEX('macs_ips'!$A$2:$A$403,AGGREGATE(15,6,(ROW('macs_ips'!$A$2:$A$403)-ROW(INDEX('macs_ips'!$A$2:$A$403,1,1))+1)/('macs_ips'!$E$2:$E$403=$J$1),ROW(A173))),"")</f>
        <v/>
      </c>
      <c r="B175" s="40">
        <f>IFERROR(INDEX('macs_ips'!$B$2:$B$403,AGGREGATE(15,6,(ROW('macs_ips'!$A$2:$A$403)-ROW(INDEX('macs_ips'!$A$2:$A$403,1,1))+1)/('macs_ips'!$E$2:$E$403=$J$1),ROW(A173))),"")</f>
        <v/>
      </c>
      <c r="C175" s="40">
        <f>IFERROR(INDEX('macs_ips'!$C$2:$C$403,AGGREGATE(15,6,(ROW('macs_ips'!$A$2:$A$403)-ROW(INDEX('macs_ips'!$A$2:$A$403,1,1))+1)/('macs_ips'!$E$2:$E$403=$J$1),ROW(A173))),"")</f>
        <v/>
      </c>
      <c r="D175" s="41">
        <f>IFERROR(INDEX('macs_ips'!$D$2:$D$403,AGGREGATE(15,6,(ROW('macs_ips'!$A$2:$A$403)-ROW(INDEX('macs_ips'!$A$2:$A$403,1,1))+1)/('macs_ips'!$E$2:$E$403=$J$1),ROW(A173))),"")</f>
        <v/>
      </c>
      <c r="E175" s="40">
        <f>IFERROR(INDEX('macs_ips'!$E$2:$E$403,AGGREGATE(15,6,(ROW('macs_ips'!$A$2:$A$403)-ROW(INDEX('macs_ips'!$A$2:$A$403,1,1))+1)/('macs_ips'!$E$2:$E$403=$J$1),ROW(A173))),"")</f>
        <v/>
      </c>
      <c r="F175" s="41">
        <f>IFERROR(INDEX('macs_ips'!$F$2:$F$403,AGGREGATE(15,6,(ROW('macs_ips'!$A$2:$A$403)-ROW(INDEX('macs_ips'!$A$2:$A$403,1,1))+1)/('macs_ips'!$E$2:$E$403=$J$1),ROW(A173))),"")</f>
        <v/>
      </c>
      <c r="G175" s="40">
        <f>IFERROR(INDEX('macs_ips'!$G$2:$G$403,AGGREGATE(15,6,(ROW('macs_ips'!$A$2:$A$403)-ROW(INDEX('macs_ips'!$A$2:$A$403,1,1))+1)/('macs_ips'!$E$2:$E$403=$J$1),ROW(A173))),"")</f>
        <v/>
      </c>
    </row>
    <row r="176">
      <c r="A176" s="40">
        <f>IFERROR(INDEX('macs_ips'!$A$2:$A$403,AGGREGATE(15,6,(ROW('macs_ips'!$A$2:$A$403)-ROW(INDEX('macs_ips'!$A$2:$A$403,1,1))+1)/('macs_ips'!$E$2:$E$403=$J$1),ROW(A174))),"")</f>
        <v/>
      </c>
      <c r="B176" s="40">
        <f>IFERROR(INDEX('macs_ips'!$B$2:$B$403,AGGREGATE(15,6,(ROW('macs_ips'!$A$2:$A$403)-ROW(INDEX('macs_ips'!$A$2:$A$403,1,1))+1)/('macs_ips'!$E$2:$E$403=$J$1),ROW(A174))),"")</f>
        <v/>
      </c>
      <c r="C176" s="40">
        <f>IFERROR(INDEX('macs_ips'!$C$2:$C$403,AGGREGATE(15,6,(ROW('macs_ips'!$A$2:$A$403)-ROW(INDEX('macs_ips'!$A$2:$A$403,1,1))+1)/('macs_ips'!$E$2:$E$403=$J$1),ROW(A174))),"")</f>
        <v/>
      </c>
      <c r="D176" s="41">
        <f>IFERROR(INDEX('macs_ips'!$D$2:$D$403,AGGREGATE(15,6,(ROW('macs_ips'!$A$2:$A$403)-ROW(INDEX('macs_ips'!$A$2:$A$403,1,1))+1)/('macs_ips'!$E$2:$E$403=$J$1),ROW(A174))),"")</f>
        <v/>
      </c>
      <c r="E176" s="40">
        <f>IFERROR(INDEX('macs_ips'!$E$2:$E$403,AGGREGATE(15,6,(ROW('macs_ips'!$A$2:$A$403)-ROW(INDEX('macs_ips'!$A$2:$A$403,1,1))+1)/('macs_ips'!$E$2:$E$403=$J$1),ROW(A174))),"")</f>
        <v/>
      </c>
      <c r="F176" s="41">
        <f>IFERROR(INDEX('macs_ips'!$F$2:$F$403,AGGREGATE(15,6,(ROW('macs_ips'!$A$2:$A$403)-ROW(INDEX('macs_ips'!$A$2:$A$403,1,1))+1)/('macs_ips'!$E$2:$E$403=$J$1),ROW(A174))),"")</f>
        <v/>
      </c>
      <c r="G176" s="40">
        <f>IFERROR(INDEX('macs_ips'!$G$2:$G$403,AGGREGATE(15,6,(ROW('macs_ips'!$A$2:$A$403)-ROW(INDEX('macs_ips'!$A$2:$A$403,1,1))+1)/('macs_ips'!$E$2:$E$403=$J$1),ROW(A174))),"")</f>
        <v/>
      </c>
    </row>
    <row r="177">
      <c r="A177" s="40">
        <f>IFERROR(INDEX('macs_ips'!$A$2:$A$403,AGGREGATE(15,6,(ROW('macs_ips'!$A$2:$A$403)-ROW(INDEX('macs_ips'!$A$2:$A$403,1,1))+1)/('macs_ips'!$E$2:$E$403=$J$1),ROW(A175))),"")</f>
        <v/>
      </c>
      <c r="B177" s="40">
        <f>IFERROR(INDEX('macs_ips'!$B$2:$B$403,AGGREGATE(15,6,(ROW('macs_ips'!$A$2:$A$403)-ROW(INDEX('macs_ips'!$A$2:$A$403,1,1))+1)/('macs_ips'!$E$2:$E$403=$J$1),ROW(A175))),"")</f>
        <v/>
      </c>
      <c r="C177" s="40">
        <f>IFERROR(INDEX('macs_ips'!$C$2:$C$403,AGGREGATE(15,6,(ROW('macs_ips'!$A$2:$A$403)-ROW(INDEX('macs_ips'!$A$2:$A$403,1,1))+1)/('macs_ips'!$E$2:$E$403=$J$1),ROW(A175))),"")</f>
        <v/>
      </c>
      <c r="D177" s="41">
        <f>IFERROR(INDEX('macs_ips'!$D$2:$D$403,AGGREGATE(15,6,(ROW('macs_ips'!$A$2:$A$403)-ROW(INDEX('macs_ips'!$A$2:$A$403,1,1))+1)/('macs_ips'!$E$2:$E$403=$J$1),ROW(A175))),"")</f>
        <v/>
      </c>
      <c r="E177" s="40">
        <f>IFERROR(INDEX('macs_ips'!$E$2:$E$403,AGGREGATE(15,6,(ROW('macs_ips'!$A$2:$A$403)-ROW(INDEX('macs_ips'!$A$2:$A$403,1,1))+1)/('macs_ips'!$E$2:$E$403=$J$1),ROW(A175))),"")</f>
        <v/>
      </c>
      <c r="F177" s="41">
        <f>IFERROR(INDEX('macs_ips'!$F$2:$F$403,AGGREGATE(15,6,(ROW('macs_ips'!$A$2:$A$403)-ROW(INDEX('macs_ips'!$A$2:$A$403,1,1))+1)/('macs_ips'!$E$2:$E$403=$J$1),ROW(A175))),"")</f>
        <v/>
      </c>
      <c r="G177" s="40">
        <f>IFERROR(INDEX('macs_ips'!$G$2:$G$403,AGGREGATE(15,6,(ROW('macs_ips'!$A$2:$A$403)-ROW(INDEX('macs_ips'!$A$2:$A$403,1,1))+1)/('macs_ips'!$E$2:$E$403=$J$1),ROW(A175))),"")</f>
        <v/>
      </c>
    </row>
    <row r="178">
      <c r="A178" s="40">
        <f>IFERROR(INDEX('macs_ips'!$A$2:$A$403,AGGREGATE(15,6,(ROW('macs_ips'!$A$2:$A$403)-ROW(INDEX('macs_ips'!$A$2:$A$403,1,1))+1)/('macs_ips'!$E$2:$E$403=$J$1),ROW(A176))),"")</f>
        <v/>
      </c>
      <c r="B178" s="40">
        <f>IFERROR(INDEX('macs_ips'!$B$2:$B$403,AGGREGATE(15,6,(ROW('macs_ips'!$A$2:$A$403)-ROW(INDEX('macs_ips'!$A$2:$A$403,1,1))+1)/('macs_ips'!$E$2:$E$403=$J$1),ROW(A176))),"")</f>
        <v/>
      </c>
      <c r="C178" s="40">
        <f>IFERROR(INDEX('macs_ips'!$C$2:$C$403,AGGREGATE(15,6,(ROW('macs_ips'!$A$2:$A$403)-ROW(INDEX('macs_ips'!$A$2:$A$403,1,1))+1)/('macs_ips'!$E$2:$E$403=$J$1),ROW(A176))),"")</f>
        <v/>
      </c>
      <c r="D178" s="41">
        <f>IFERROR(INDEX('macs_ips'!$D$2:$D$403,AGGREGATE(15,6,(ROW('macs_ips'!$A$2:$A$403)-ROW(INDEX('macs_ips'!$A$2:$A$403,1,1))+1)/('macs_ips'!$E$2:$E$403=$J$1),ROW(A176))),"")</f>
        <v/>
      </c>
      <c r="E178" s="40">
        <f>IFERROR(INDEX('macs_ips'!$E$2:$E$403,AGGREGATE(15,6,(ROW('macs_ips'!$A$2:$A$403)-ROW(INDEX('macs_ips'!$A$2:$A$403,1,1))+1)/('macs_ips'!$E$2:$E$403=$J$1),ROW(A176))),"")</f>
        <v/>
      </c>
      <c r="F178" s="41">
        <f>IFERROR(INDEX('macs_ips'!$F$2:$F$403,AGGREGATE(15,6,(ROW('macs_ips'!$A$2:$A$403)-ROW(INDEX('macs_ips'!$A$2:$A$403,1,1))+1)/('macs_ips'!$E$2:$E$403=$J$1),ROW(A176))),"")</f>
        <v/>
      </c>
      <c r="G178" s="40">
        <f>IFERROR(INDEX('macs_ips'!$G$2:$G$403,AGGREGATE(15,6,(ROW('macs_ips'!$A$2:$A$403)-ROW(INDEX('macs_ips'!$A$2:$A$403,1,1))+1)/('macs_ips'!$E$2:$E$403=$J$1),ROW(A176))),"")</f>
        <v/>
      </c>
    </row>
    <row r="179">
      <c r="A179" s="40">
        <f>IFERROR(INDEX('macs_ips'!$A$2:$A$403,AGGREGATE(15,6,(ROW('macs_ips'!$A$2:$A$403)-ROW(INDEX('macs_ips'!$A$2:$A$403,1,1))+1)/('macs_ips'!$E$2:$E$403=$J$1),ROW(A177))),"")</f>
        <v/>
      </c>
      <c r="B179" s="40">
        <f>IFERROR(INDEX('macs_ips'!$B$2:$B$403,AGGREGATE(15,6,(ROW('macs_ips'!$A$2:$A$403)-ROW(INDEX('macs_ips'!$A$2:$A$403,1,1))+1)/('macs_ips'!$E$2:$E$403=$J$1),ROW(A177))),"")</f>
        <v/>
      </c>
      <c r="C179" s="40">
        <f>IFERROR(INDEX('macs_ips'!$C$2:$C$403,AGGREGATE(15,6,(ROW('macs_ips'!$A$2:$A$403)-ROW(INDEX('macs_ips'!$A$2:$A$403,1,1))+1)/('macs_ips'!$E$2:$E$403=$J$1),ROW(A177))),"")</f>
        <v/>
      </c>
      <c r="D179" s="41">
        <f>IFERROR(INDEX('macs_ips'!$D$2:$D$403,AGGREGATE(15,6,(ROW('macs_ips'!$A$2:$A$403)-ROW(INDEX('macs_ips'!$A$2:$A$403,1,1))+1)/('macs_ips'!$E$2:$E$403=$J$1),ROW(A177))),"")</f>
        <v/>
      </c>
      <c r="E179" s="40">
        <f>IFERROR(INDEX('macs_ips'!$E$2:$E$403,AGGREGATE(15,6,(ROW('macs_ips'!$A$2:$A$403)-ROW(INDEX('macs_ips'!$A$2:$A$403,1,1))+1)/('macs_ips'!$E$2:$E$403=$J$1),ROW(A177))),"")</f>
        <v/>
      </c>
      <c r="F179" s="41">
        <f>IFERROR(INDEX('macs_ips'!$F$2:$F$403,AGGREGATE(15,6,(ROW('macs_ips'!$A$2:$A$403)-ROW(INDEX('macs_ips'!$A$2:$A$403,1,1))+1)/('macs_ips'!$E$2:$E$403=$J$1),ROW(A177))),"")</f>
        <v/>
      </c>
      <c r="G179" s="40">
        <f>IFERROR(INDEX('macs_ips'!$G$2:$G$403,AGGREGATE(15,6,(ROW('macs_ips'!$A$2:$A$403)-ROW(INDEX('macs_ips'!$A$2:$A$403,1,1))+1)/('macs_ips'!$E$2:$E$403=$J$1),ROW(A177))),"")</f>
        <v/>
      </c>
    </row>
    <row r="180">
      <c r="A180" s="40">
        <f>IFERROR(INDEX('macs_ips'!$A$2:$A$403,AGGREGATE(15,6,(ROW('macs_ips'!$A$2:$A$403)-ROW(INDEX('macs_ips'!$A$2:$A$403,1,1))+1)/('macs_ips'!$E$2:$E$403=$J$1),ROW(A178))),"")</f>
        <v/>
      </c>
      <c r="B180" s="40">
        <f>IFERROR(INDEX('macs_ips'!$B$2:$B$403,AGGREGATE(15,6,(ROW('macs_ips'!$A$2:$A$403)-ROW(INDEX('macs_ips'!$A$2:$A$403,1,1))+1)/('macs_ips'!$E$2:$E$403=$J$1),ROW(A178))),"")</f>
        <v/>
      </c>
      <c r="C180" s="40">
        <f>IFERROR(INDEX('macs_ips'!$C$2:$C$403,AGGREGATE(15,6,(ROW('macs_ips'!$A$2:$A$403)-ROW(INDEX('macs_ips'!$A$2:$A$403,1,1))+1)/('macs_ips'!$E$2:$E$403=$J$1),ROW(A178))),"")</f>
        <v/>
      </c>
      <c r="D180" s="41">
        <f>IFERROR(INDEX('macs_ips'!$D$2:$D$403,AGGREGATE(15,6,(ROW('macs_ips'!$A$2:$A$403)-ROW(INDEX('macs_ips'!$A$2:$A$403,1,1))+1)/('macs_ips'!$E$2:$E$403=$J$1),ROW(A178))),"")</f>
        <v/>
      </c>
      <c r="E180" s="40">
        <f>IFERROR(INDEX('macs_ips'!$E$2:$E$403,AGGREGATE(15,6,(ROW('macs_ips'!$A$2:$A$403)-ROW(INDEX('macs_ips'!$A$2:$A$403,1,1))+1)/('macs_ips'!$E$2:$E$403=$J$1),ROW(A178))),"")</f>
        <v/>
      </c>
      <c r="F180" s="41">
        <f>IFERROR(INDEX('macs_ips'!$F$2:$F$403,AGGREGATE(15,6,(ROW('macs_ips'!$A$2:$A$403)-ROW(INDEX('macs_ips'!$A$2:$A$403,1,1))+1)/('macs_ips'!$E$2:$E$403=$J$1),ROW(A178))),"")</f>
        <v/>
      </c>
      <c r="G180" s="40">
        <f>IFERROR(INDEX('macs_ips'!$G$2:$G$403,AGGREGATE(15,6,(ROW('macs_ips'!$A$2:$A$403)-ROW(INDEX('macs_ips'!$A$2:$A$403,1,1))+1)/('macs_ips'!$E$2:$E$403=$J$1),ROW(A178))),"")</f>
        <v/>
      </c>
    </row>
    <row r="181">
      <c r="A181" s="40">
        <f>IFERROR(INDEX('macs_ips'!$A$2:$A$403,AGGREGATE(15,6,(ROW('macs_ips'!$A$2:$A$403)-ROW(INDEX('macs_ips'!$A$2:$A$403,1,1))+1)/('macs_ips'!$E$2:$E$403=$J$1),ROW(A179))),"")</f>
        <v/>
      </c>
      <c r="B181" s="40">
        <f>IFERROR(INDEX('macs_ips'!$B$2:$B$403,AGGREGATE(15,6,(ROW('macs_ips'!$A$2:$A$403)-ROW(INDEX('macs_ips'!$A$2:$A$403,1,1))+1)/('macs_ips'!$E$2:$E$403=$J$1),ROW(A179))),"")</f>
        <v/>
      </c>
      <c r="C181" s="40">
        <f>IFERROR(INDEX('macs_ips'!$C$2:$C$403,AGGREGATE(15,6,(ROW('macs_ips'!$A$2:$A$403)-ROW(INDEX('macs_ips'!$A$2:$A$403,1,1))+1)/('macs_ips'!$E$2:$E$403=$J$1),ROW(A179))),"")</f>
        <v/>
      </c>
      <c r="D181" s="41">
        <f>IFERROR(INDEX('macs_ips'!$D$2:$D$403,AGGREGATE(15,6,(ROW('macs_ips'!$A$2:$A$403)-ROW(INDEX('macs_ips'!$A$2:$A$403,1,1))+1)/('macs_ips'!$E$2:$E$403=$J$1),ROW(A179))),"")</f>
        <v/>
      </c>
      <c r="E181" s="40">
        <f>IFERROR(INDEX('macs_ips'!$E$2:$E$403,AGGREGATE(15,6,(ROW('macs_ips'!$A$2:$A$403)-ROW(INDEX('macs_ips'!$A$2:$A$403,1,1))+1)/('macs_ips'!$E$2:$E$403=$J$1),ROW(A179))),"")</f>
        <v/>
      </c>
      <c r="F181" s="41">
        <f>IFERROR(INDEX('macs_ips'!$F$2:$F$403,AGGREGATE(15,6,(ROW('macs_ips'!$A$2:$A$403)-ROW(INDEX('macs_ips'!$A$2:$A$403,1,1))+1)/('macs_ips'!$E$2:$E$403=$J$1),ROW(A179))),"")</f>
        <v/>
      </c>
      <c r="G181" s="40">
        <f>IFERROR(INDEX('macs_ips'!$G$2:$G$403,AGGREGATE(15,6,(ROW('macs_ips'!$A$2:$A$403)-ROW(INDEX('macs_ips'!$A$2:$A$403,1,1))+1)/('macs_ips'!$E$2:$E$403=$J$1),ROW(A179))),"")</f>
        <v/>
      </c>
    </row>
    <row r="182">
      <c r="A182" s="40">
        <f>IFERROR(INDEX('macs_ips'!$A$2:$A$403,AGGREGATE(15,6,(ROW('macs_ips'!$A$2:$A$403)-ROW(INDEX('macs_ips'!$A$2:$A$403,1,1))+1)/('macs_ips'!$E$2:$E$403=$J$1),ROW(A180))),"")</f>
        <v/>
      </c>
      <c r="B182" s="40">
        <f>IFERROR(INDEX('macs_ips'!$B$2:$B$403,AGGREGATE(15,6,(ROW('macs_ips'!$A$2:$A$403)-ROW(INDEX('macs_ips'!$A$2:$A$403,1,1))+1)/('macs_ips'!$E$2:$E$403=$J$1),ROW(A180))),"")</f>
        <v/>
      </c>
      <c r="C182" s="40">
        <f>IFERROR(INDEX('macs_ips'!$C$2:$C$403,AGGREGATE(15,6,(ROW('macs_ips'!$A$2:$A$403)-ROW(INDEX('macs_ips'!$A$2:$A$403,1,1))+1)/('macs_ips'!$E$2:$E$403=$J$1),ROW(A180))),"")</f>
        <v/>
      </c>
      <c r="D182" s="41">
        <f>IFERROR(INDEX('macs_ips'!$D$2:$D$403,AGGREGATE(15,6,(ROW('macs_ips'!$A$2:$A$403)-ROW(INDEX('macs_ips'!$A$2:$A$403,1,1))+1)/('macs_ips'!$E$2:$E$403=$J$1),ROW(A180))),"")</f>
        <v/>
      </c>
      <c r="E182" s="40">
        <f>IFERROR(INDEX('macs_ips'!$E$2:$E$403,AGGREGATE(15,6,(ROW('macs_ips'!$A$2:$A$403)-ROW(INDEX('macs_ips'!$A$2:$A$403,1,1))+1)/('macs_ips'!$E$2:$E$403=$J$1),ROW(A180))),"")</f>
        <v/>
      </c>
      <c r="F182" s="41">
        <f>IFERROR(INDEX('macs_ips'!$F$2:$F$403,AGGREGATE(15,6,(ROW('macs_ips'!$A$2:$A$403)-ROW(INDEX('macs_ips'!$A$2:$A$403,1,1))+1)/('macs_ips'!$E$2:$E$403=$J$1),ROW(A180))),"")</f>
        <v/>
      </c>
      <c r="G182" s="40">
        <f>IFERROR(INDEX('macs_ips'!$G$2:$G$403,AGGREGATE(15,6,(ROW('macs_ips'!$A$2:$A$403)-ROW(INDEX('macs_ips'!$A$2:$A$403,1,1))+1)/('macs_ips'!$E$2:$E$403=$J$1),ROW(A180))),"")</f>
        <v/>
      </c>
    </row>
    <row r="183">
      <c r="A183" s="40">
        <f>IFERROR(INDEX('macs_ips'!$A$2:$A$403,AGGREGATE(15,6,(ROW('macs_ips'!$A$2:$A$403)-ROW(INDEX('macs_ips'!$A$2:$A$403,1,1))+1)/('macs_ips'!$E$2:$E$403=$J$1),ROW(A181))),"")</f>
        <v/>
      </c>
      <c r="B183" s="40">
        <f>IFERROR(INDEX('macs_ips'!$B$2:$B$403,AGGREGATE(15,6,(ROW('macs_ips'!$A$2:$A$403)-ROW(INDEX('macs_ips'!$A$2:$A$403,1,1))+1)/('macs_ips'!$E$2:$E$403=$J$1),ROW(A181))),"")</f>
        <v/>
      </c>
      <c r="C183" s="40">
        <f>IFERROR(INDEX('macs_ips'!$C$2:$C$403,AGGREGATE(15,6,(ROW('macs_ips'!$A$2:$A$403)-ROW(INDEX('macs_ips'!$A$2:$A$403,1,1))+1)/('macs_ips'!$E$2:$E$403=$J$1),ROW(A181))),"")</f>
        <v/>
      </c>
      <c r="D183" s="41">
        <f>IFERROR(INDEX('macs_ips'!$D$2:$D$403,AGGREGATE(15,6,(ROW('macs_ips'!$A$2:$A$403)-ROW(INDEX('macs_ips'!$A$2:$A$403,1,1))+1)/('macs_ips'!$E$2:$E$403=$J$1),ROW(A181))),"")</f>
        <v/>
      </c>
      <c r="E183" s="40">
        <f>IFERROR(INDEX('macs_ips'!$E$2:$E$403,AGGREGATE(15,6,(ROW('macs_ips'!$A$2:$A$403)-ROW(INDEX('macs_ips'!$A$2:$A$403,1,1))+1)/('macs_ips'!$E$2:$E$403=$J$1),ROW(A181))),"")</f>
        <v/>
      </c>
      <c r="F183" s="41">
        <f>IFERROR(INDEX('macs_ips'!$F$2:$F$403,AGGREGATE(15,6,(ROW('macs_ips'!$A$2:$A$403)-ROW(INDEX('macs_ips'!$A$2:$A$403,1,1))+1)/('macs_ips'!$E$2:$E$403=$J$1),ROW(A181))),"")</f>
        <v/>
      </c>
      <c r="G183" s="40">
        <f>IFERROR(INDEX('macs_ips'!$G$2:$G$403,AGGREGATE(15,6,(ROW('macs_ips'!$A$2:$A$403)-ROW(INDEX('macs_ips'!$A$2:$A$403,1,1))+1)/('macs_ips'!$E$2:$E$403=$J$1),ROW(A181))),"")</f>
        <v/>
      </c>
    </row>
    <row r="184">
      <c r="A184" s="40">
        <f>IFERROR(INDEX('macs_ips'!$A$2:$A$403,AGGREGATE(15,6,(ROW('macs_ips'!$A$2:$A$403)-ROW(INDEX('macs_ips'!$A$2:$A$403,1,1))+1)/('macs_ips'!$E$2:$E$403=$J$1),ROW(A182))),"")</f>
        <v/>
      </c>
      <c r="B184" s="40">
        <f>IFERROR(INDEX('macs_ips'!$B$2:$B$403,AGGREGATE(15,6,(ROW('macs_ips'!$A$2:$A$403)-ROW(INDEX('macs_ips'!$A$2:$A$403,1,1))+1)/('macs_ips'!$E$2:$E$403=$J$1),ROW(A182))),"")</f>
        <v/>
      </c>
      <c r="C184" s="40">
        <f>IFERROR(INDEX('macs_ips'!$C$2:$C$403,AGGREGATE(15,6,(ROW('macs_ips'!$A$2:$A$403)-ROW(INDEX('macs_ips'!$A$2:$A$403,1,1))+1)/('macs_ips'!$E$2:$E$403=$J$1),ROW(A182))),"")</f>
        <v/>
      </c>
      <c r="D184" s="41">
        <f>IFERROR(INDEX('macs_ips'!$D$2:$D$403,AGGREGATE(15,6,(ROW('macs_ips'!$A$2:$A$403)-ROW(INDEX('macs_ips'!$A$2:$A$403,1,1))+1)/('macs_ips'!$E$2:$E$403=$J$1),ROW(A182))),"")</f>
        <v/>
      </c>
      <c r="E184" s="40">
        <f>IFERROR(INDEX('macs_ips'!$E$2:$E$403,AGGREGATE(15,6,(ROW('macs_ips'!$A$2:$A$403)-ROW(INDEX('macs_ips'!$A$2:$A$403,1,1))+1)/('macs_ips'!$E$2:$E$403=$J$1),ROW(A182))),"")</f>
        <v/>
      </c>
      <c r="F184" s="41">
        <f>IFERROR(INDEX('macs_ips'!$F$2:$F$403,AGGREGATE(15,6,(ROW('macs_ips'!$A$2:$A$403)-ROW(INDEX('macs_ips'!$A$2:$A$403,1,1))+1)/('macs_ips'!$E$2:$E$403=$J$1),ROW(A182))),"")</f>
        <v/>
      </c>
      <c r="G184" s="40">
        <f>IFERROR(INDEX('macs_ips'!$G$2:$G$403,AGGREGATE(15,6,(ROW('macs_ips'!$A$2:$A$403)-ROW(INDEX('macs_ips'!$A$2:$A$403,1,1))+1)/('macs_ips'!$E$2:$E$403=$J$1),ROW(A182))),"")</f>
        <v/>
      </c>
    </row>
    <row r="185">
      <c r="A185" s="40">
        <f>IFERROR(INDEX('macs_ips'!$A$2:$A$403,AGGREGATE(15,6,(ROW('macs_ips'!$A$2:$A$403)-ROW(INDEX('macs_ips'!$A$2:$A$403,1,1))+1)/('macs_ips'!$E$2:$E$403=$J$1),ROW(A183))),"")</f>
        <v/>
      </c>
      <c r="B185" s="40">
        <f>IFERROR(INDEX('macs_ips'!$B$2:$B$403,AGGREGATE(15,6,(ROW('macs_ips'!$A$2:$A$403)-ROW(INDEX('macs_ips'!$A$2:$A$403,1,1))+1)/('macs_ips'!$E$2:$E$403=$J$1),ROW(A183))),"")</f>
        <v/>
      </c>
      <c r="C185" s="40">
        <f>IFERROR(INDEX('macs_ips'!$C$2:$C$403,AGGREGATE(15,6,(ROW('macs_ips'!$A$2:$A$403)-ROW(INDEX('macs_ips'!$A$2:$A$403,1,1))+1)/('macs_ips'!$E$2:$E$403=$J$1),ROW(A183))),"")</f>
        <v/>
      </c>
      <c r="D185" s="41">
        <f>IFERROR(INDEX('macs_ips'!$D$2:$D$403,AGGREGATE(15,6,(ROW('macs_ips'!$A$2:$A$403)-ROW(INDEX('macs_ips'!$A$2:$A$403,1,1))+1)/('macs_ips'!$E$2:$E$403=$J$1),ROW(A183))),"")</f>
        <v/>
      </c>
      <c r="E185" s="40">
        <f>IFERROR(INDEX('macs_ips'!$E$2:$E$403,AGGREGATE(15,6,(ROW('macs_ips'!$A$2:$A$403)-ROW(INDEX('macs_ips'!$A$2:$A$403,1,1))+1)/('macs_ips'!$E$2:$E$403=$J$1),ROW(A183))),"")</f>
        <v/>
      </c>
      <c r="F185" s="41">
        <f>IFERROR(INDEX('macs_ips'!$F$2:$F$403,AGGREGATE(15,6,(ROW('macs_ips'!$A$2:$A$403)-ROW(INDEX('macs_ips'!$A$2:$A$403,1,1))+1)/('macs_ips'!$E$2:$E$403=$J$1),ROW(A183))),"")</f>
        <v/>
      </c>
      <c r="G185" s="40">
        <f>IFERROR(INDEX('macs_ips'!$G$2:$G$403,AGGREGATE(15,6,(ROW('macs_ips'!$A$2:$A$403)-ROW(INDEX('macs_ips'!$A$2:$A$403,1,1))+1)/('macs_ips'!$E$2:$E$403=$J$1),ROW(A183))),"")</f>
        <v/>
      </c>
    </row>
    <row r="186">
      <c r="A186" s="40">
        <f>IFERROR(INDEX('macs_ips'!$A$2:$A$403,AGGREGATE(15,6,(ROW('macs_ips'!$A$2:$A$403)-ROW(INDEX('macs_ips'!$A$2:$A$403,1,1))+1)/('macs_ips'!$E$2:$E$403=$J$1),ROW(A184))),"")</f>
        <v/>
      </c>
      <c r="B186" s="40">
        <f>IFERROR(INDEX('macs_ips'!$B$2:$B$403,AGGREGATE(15,6,(ROW('macs_ips'!$A$2:$A$403)-ROW(INDEX('macs_ips'!$A$2:$A$403,1,1))+1)/('macs_ips'!$E$2:$E$403=$J$1),ROW(A184))),"")</f>
        <v/>
      </c>
      <c r="C186" s="40">
        <f>IFERROR(INDEX('macs_ips'!$C$2:$C$403,AGGREGATE(15,6,(ROW('macs_ips'!$A$2:$A$403)-ROW(INDEX('macs_ips'!$A$2:$A$403,1,1))+1)/('macs_ips'!$E$2:$E$403=$J$1),ROW(A184))),"")</f>
        <v/>
      </c>
      <c r="D186" s="41">
        <f>IFERROR(INDEX('macs_ips'!$D$2:$D$403,AGGREGATE(15,6,(ROW('macs_ips'!$A$2:$A$403)-ROW(INDEX('macs_ips'!$A$2:$A$403,1,1))+1)/('macs_ips'!$E$2:$E$403=$J$1),ROW(A184))),"")</f>
        <v/>
      </c>
      <c r="E186" s="40">
        <f>IFERROR(INDEX('macs_ips'!$E$2:$E$403,AGGREGATE(15,6,(ROW('macs_ips'!$A$2:$A$403)-ROW(INDEX('macs_ips'!$A$2:$A$403,1,1))+1)/('macs_ips'!$E$2:$E$403=$J$1),ROW(A184))),"")</f>
        <v/>
      </c>
      <c r="F186" s="41">
        <f>IFERROR(INDEX('macs_ips'!$F$2:$F$403,AGGREGATE(15,6,(ROW('macs_ips'!$A$2:$A$403)-ROW(INDEX('macs_ips'!$A$2:$A$403,1,1))+1)/('macs_ips'!$E$2:$E$403=$J$1),ROW(A184))),"")</f>
        <v/>
      </c>
      <c r="G186" s="40">
        <f>IFERROR(INDEX('macs_ips'!$G$2:$G$403,AGGREGATE(15,6,(ROW('macs_ips'!$A$2:$A$403)-ROW(INDEX('macs_ips'!$A$2:$A$403,1,1))+1)/('macs_ips'!$E$2:$E$403=$J$1),ROW(A184))),"")</f>
        <v/>
      </c>
    </row>
    <row r="187">
      <c r="A187" s="40">
        <f>IFERROR(INDEX('macs_ips'!$A$2:$A$403,AGGREGATE(15,6,(ROW('macs_ips'!$A$2:$A$403)-ROW(INDEX('macs_ips'!$A$2:$A$403,1,1))+1)/('macs_ips'!$E$2:$E$403=$J$1),ROW(A185))),"")</f>
        <v/>
      </c>
      <c r="B187" s="40">
        <f>IFERROR(INDEX('macs_ips'!$B$2:$B$403,AGGREGATE(15,6,(ROW('macs_ips'!$A$2:$A$403)-ROW(INDEX('macs_ips'!$A$2:$A$403,1,1))+1)/('macs_ips'!$E$2:$E$403=$J$1),ROW(A185))),"")</f>
        <v/>
      </c>
      <c r="C187" s="40">
        <f>IFERROR(INDEX('macs_ips'!$C$2:$C$403,AGGREGATE(15,6,(ROW('macs_ips'!$A$2:$A$403)-ROW(INDEX('macs_ips'!$A$2:$A$403,1,1))+1)/('macs_ips'!$E$2:$E$403=$J$1),ROW(A185))),"")</f>
        <v/>
      </c>
      <c r="D187" s="41">
        <f>IFERROR(INDEX('macs_ips'!$D$2:$D$403,AGGREGATE(15,6,(ROW('macs_ips'!$A$2:$A$403)-ROW(INDEX('macs_ips'!$A$2:$A$403,1,1))+1)/('macs_ips'!$E$2:$E$403=$J$1),ROW(A185))),"")</f>
        <v/>
      </c>
      <c r="E187" s="40">
        <f>IFERROR(INDEX('macs_ips'!$E$2:$E$403,AGGREGATE(15,6,(ROW('macs_ips'!$A$2:$A$403)-ROW(INDEX('macs_ips'!$A$2:$A$403,1,1))+1)/('macs_ips'!$E$2:$E$403=$J$1),ROW(A185))),"")</f>
        <v/>
      </c>
      <c r="F187" s="41">
        <f>IFERROR(INDEX('macs_ips'!$F$2:$F$403,AGGREGATE(15,6,(ROW('macs_ips'!$A$2:$A$403)-ROW(INDEX('macs_ips'!$A$2:$A$403,1,1))+1)/('macs_ips'!$E$2:$E$403=$J$1),ROW(A185))),"")</f>
        <v/>
      </c>
      <c r="G187" s="40">
        <f>IFERROR(INDEX('macs_ips'!$G$2:$G$403,AGGREGATE(15,6,(ROW('macs_ips'!$A$2:$A$403)-ROW(INDEX('macs_ips'!$A$2:$A$403,1,1))+1)/('macs_ips'!$E$2:$E$403=$J$1),ROW(A185))),"")</f>
        <v/>
      </c>
    </row>
    <row r="188">
      <c r="A188" s="40">
        <f>IFERROR(INDEX('macs_ips'!$A$2:$A$403,AGGREGATE(15,6,(ROW('macs_ips'!$A$2:$A$403)-ROW(INDEX('macs_ips'!$A$2:$A$403,1,1))+1)/('macs_ips'!$E$2:$E$403=$J$1),ROW(A186))),"")</f>
        <v/>
      </c>
      <c r="B188" s="40">
        <f>IFERROR(INDEX('macs_ips'!$B$2:$B$403,AGGREGATE(15,6,(ROW('macs_ips'!$A$2:$A$403)-ROW(INDEX('macs_ips'!$A$2:$A$403,1,1))+1)/('macs_ips'!$E$2:$E$403=$J$1),ROW(A186))),"")</f>
        <v/>
      </c>
      <c r="C188" s="40">
        <f>IFERROR(INDEX('macs_ips'!$C$2:$C$403,AGGREGATE(15,6,(ROW('macs_ips'!$A$2:$A$403)-ROW(INDEX('macs_ips'!$A$2:$A$403,1,1))+1)/('macs_ips'!$E$2:$E$403=$J$1),ROW(A186))),"")</f>
        <v/>
      </c>
      <c r="D188" s="41">
        <f>IFERROR(INDEX('macs_ips'!$D$2:$D$403,AGGREGATE(15,6,(ROW('macs_ips'!$A$2:$A$403)-ROW(INDEX('macs_ips'!$A$2:$A$403,1,1))+1)/('macs_ips'!$E$2:$E$403=$J$1),ROW(A186))),"")</f>
        <v/>
      </c>
      <c r="E188" s="40">
        <f>IFERROR(INDEX('macs_ips'!$E$2:$E$403,AGGREGATE(15,6,(ROW('macs_ips'!$A$2:$A$403)-ROW(INDEX('macs_ips'!$A$2:$A$403,1,1))+1)/('macs_ips'!$E$2:$E$403=$J$1),ROW(A186))),"")</f>
        <v/>
      </c>
      <c r="F188" s="41">
        <f>IFERROR(INDEX('macs_ips'!$F$2:$F$403,AGGREGATE(15,6,(ROW('macs_ips'!$A$2:$A$403)-ROW(INDEX('macs_ips'!$A$2:$A$403,1,1))+1)/('macs_ips'!$E$2:$E$403=$J$1),ROW(A186))),"")</f>
        <v/>
      </c>
      <c r="G188" s="40">
        <f>IFERROR(INDEX('macs_ips'!$G$2:$G$403,AGGREGATE(15,6,(ROW('macs_ips'!$A$2:$A$403)-ROW(INDEX('macs_ips'!$A$2:$A$403,1,1))+1)/('macs_ips'!$E$2:$E$403=$J$1),ROW(A186))),"")</f>
        <v/>
      </c>
    </row>
    <row r="189">
      <c r="A189" s="40">
        <f>IFERROR(INDEX('macs_ips'!$A$2:$A$403,AGGREGATE(15,6,(ROW('macs_ips'!$A$2:$A$403)-ROW(INDEX('macs_ips'!$A$2:$A$403,1,1))+1)/('macs_ips'!$E$2:$E$403=$J$1),ROW(A187))),"")</f>
        <v/>
      </c>
      <c r="B189" s="40">
        <f>IFERROR(INDEX('macs_ips'!$B$2:$B$403,AGGREGATE(15,6,(ROW('macs_ips'!$A$2:$A$403)-ROW(INDEX('macs_ips'!$A$2:$A$403,1,1))+1)/('macs_ips'!$E$2:$E$403=$J$1),ROW(A187))),"")</f>
        <v/>
      </c>
      <c r="C189" s="40">
        <f>IFERROR(INDEX('macs_ips'!$C$2:$C$403,AGGREGATE(15,6,(ROW('macs_ips'!$A$2:$A$403)-ROW(INDEX('macs_ips'!$A$2:$A$403,1,1))+1)/('macs_ips'!$E$2:$E$403=$J$1),ROW(A187))),"")</f>
        <v/>
      </c>
      <c r="D189" s="41">
        <f>IFERROR(INDEX('macs_ips'!$D$2:$D$403,AGGREGATE(15,6,(ROW('macs_ips'!$A$2:$A$403)-ROW(INDEX('macs_ips'!$A$2:$A$403,1,1))+1)/('macs_ips'!$E$2:$E$403=$J$1),ROW(A187))),"")</f>
        <v/>
      </c>
      <c r="E189" s="40">
        <f>IFERROR(INDEX('macs_ips'!$E$2:$E$403,AGGREGATE(15,6,(ROW('macs_ips'!$A$2:$A$403)-ROW(INDEX('macs_ips'!$A$2:$A$403,1,1))+1)/('macs_ips'!$E$2:$E$403=$J$1),ROW(A187))),"")</f>
        <v/>
      </c>
      <c r="F189" s="41">
        <f>IFERROR(INDEX('macs_ips'!$F$2:$F$403,AGGREGATE(15,6,(ROW('macs_ips'!$A$2:$A$403)-ROW(INDEX('macs_ips'!$A$2:$A$403,1,1))+1)/('macs_ips'!$E$2:$E$403=$J$1),ROW(A187))),"")</f>
        <v/>
      </c>
      <c r="G189" s="40">
        <f>IFERROR(INDEX('macs_ips'!$G$2:$G$403,AGGREGATE(15,6,(ROW('macs_ips'!$A$2:$A$403)-ROW(INDEX('macs_ips'!$A$2:$A$403,1,1))+1)/('macs_ips'!$E$2:$E$403=$J$1),ROW(A187))),"")</f>
        <v/>
      </c>
    </row>
    <row r="190">
      <c r="A190" s="40">
        <f>IFERROR(INDEX('macs_ips'!$A$2:$A$403,AGGREGATE(15,6,(ROW('macs_ips'!$A$2:$A$403)-ROW(INDEX('macs_ips'!$A$2:$A$403,1,1))+1)/('macs_ips'!$E$2:$E$403=$J$1),ROW(A188))),"")</f>
        <v/>
      </c>
      <c r="B190" s="40">
        <f>IFERROR(INDEX('macs_ips'!$B$2:$B$403,AGGREGATE(15,6,(ROW('macs_ips'!$A$2:$A$403)-ROW(INDEX('macs_ips'!$A$2:$A$403,1,1))+1)/('macs_ips'!$E$2:$E$403=$J$1),ROW(A188))),"")</f>
        <v/>
      </c>
      <c r="C190" s="40">
        <f>IFERROR(INDEX('macs_ips'!$C$2:$C$403,AGGREGATE(15,6,(ROW('macs_ips'!$A$2:$A$403)-ROW(INDEX('macs_ips'!$A$2:$A$403,1,1))+1)/('macs_ips'!$E$2:$E$403=$J$1),ROW(A188))),"")</f>
        <v/>
      </c>
      <c r="D190" s="41">
        <f>IFERROR(INDEX('macs_ips'!$D$2:$D$403,AGGREGATE(15,6,(ROW('macs_ips'!$A$2:$A$403)-ROW(INDEX('macs_ips'!$A$2:$A$403,1,1))+1)/('macs_ips'!$E$2:$E$403=$J$1),ROW(A188))),"")</f>
        <v/>
      </c>
      <c r="E190" s="40">
        <f>IFERROR(INDEX('macs_ips'!$E$2:$E$403,AGGREGATE(15,6,(ROW('macs_ips'!$A$2:$A$403)-ROW(INDEX('macs_ips'!$A$2:$A$403,1,1))+1)/('macs_ips'!$E$2:$E$403=$J$1),ROW(A188))),"")</f>
        <v/>
      </c>
      <c r="F190" s="41">
        <f>IFERROR(INDEX('macs_ips'!$F$2:$F$403,AGGREGATE(15,6,(ROW('macs_ips'!$A$2:$A$403)-ROW(INDEX('macs_ips'!$A$2:$A$403,1,1))+1)/('macs_ips'!$E$2:$E$403=$J$1),ROW(A188))),"")</f>
        <v/>
      </c>
      <c r="G190" s="40">
        <f>IFERROR(INDEX('macs_ips'!$G$2:$G$403,AGGREGATE(15,6,(ROW('macs_ips'!$A$2:$A$403)-ROW(INDEX('macs_ips'!$A$2:$A$403,1,1))+1)/('macs_ips'!$E$2:$E$403=$J$1),ROW(A188))),"")</f>
        <v/>
      </c>
    </row>
    <row r="191">
      <c r="A191" s="40">
        <f>IFERROR(INDEX('macs_ips'!$A$2:$A$403,AGGREGATE(15,6,(ROW('macs_ips'!$A$2:$A$403)-ROW(INDEX('macs_ips'!$A$2:$A$403,1,1))+1)/('macs_ips'!$E$2:$E$403=$J$1),ROW(A189))),"")</f>
        <v/>
      </c>
      <c r="B191" s="40">
        <f>IFERROR(INDEX('macs_ips'!$B$2:$B$403,AGGREGATE(15,6,(ROW('macs_ips'!$A$2:$A$403)-ROW(INDEX('macs_ips'!$A$2:$A$403,1,1))+1)/('macs_ips'!$E$2:$E$403=$J$1),ROW(A189))),"")</f>
        <v/>
      </c>
      <c r="C191" s="40">
        <f>IFERROR(INDEX('macs_ips'!$C$2:$C$403,AGGREGATE(15,6,(ROW('macs_ips'!$A$2:$A$403)-ROW(INDEX('macs_ips'!$A$2:$A$403,1,1))+1)/('macs_ips'!$E$2:$E$403=$J$1),ROW(A189))),"")</f>
        <v/>
      </c>
      <c r="D191" s="41">
        <f>IFERROR(INDEX('macs_ips'!$D$2:$D$403,AGGREGATE(15,6,(ROW('macs_ips'!$A$2:$A$403)-ROW(INDEX('macs_ips'!$A$2:$A$403,1,1))+1)/('macs_ips'!$E$2:$E$403=$J$1),ROW(A189))),"")</f>
        <v/>
      </c>
      <c r="E191" s="40">
        <f>IFERROR(INDEX('macs_ips'!$E$2:$E$403,AGGREGATE(15,6,(ROW('macs_ips'!$A$2:$A$403)-ROW(INDEX('macs_ips'!$A$2:$A$403,1,1))+1)/('macs_ips'!$E$2:$E$403=$J$1),ROW(A189))),"")</f>
        <v/>
      </c>
      <c r="F191" s="41">
        <f>IFERROR(INDEX('macs_ips'!$F$2:$F$403,AGGREGATE(15,6,(ROW('macs_ips'!$A$2:$A$403)-ROW(INDEX('macs_ips'!$A$2:$A$403,1,1))+1)/('macs_ips'!$E$2:$E$403=$J$1),ROW(A189))),"")</f>
        <v/>
      </c>
      <c r="G191" s="40">
        <f>IFERROR(INDEX('macs_ips'!$G$2:$G$403,AGGREGATE(15,6,(ROW('macs_ips'!$A$2:$A$403)-ROW(INDEX('macs_ips'!$A$2:$A$403,1,1))+1)/('macs_ips'!$E$2:$E$403=$J$1),ROW(A189))),"")</f>
        <v/>
      </c>
    </row>
    <row r="192">
      <c r="A192" s="40">
        <f>IFERROR(INDEX('macs_ips'!$A$2:$A$403,AGGREGATE(15,6,(ROW('macs_ips'!$A$2:$A$403)-ROW(INDEX('macs_ips'!$A$2:$A$403,1,1))+1)/('macs_ips'!$E$2:$E$403=$J$1),ROW(A190))),"")</f>
        <v/>
      </c>
      <c r="B192" s="40">
        <f>IFERROR(INDEX('macs_ips'!$B$2:$B$403,AGGREGATE(15,6,(ROW('macs_ips'!$A$2:$A$403)-ROW(INDEX('macs_ips'!$A$2:$A$403,1,1))+1)/('macs_ips'!$E$2:$E$403=$J$1),ROW(A190))),"")</f>
        <v/>
      </c>
      <c r="C192" s="40">
        <f>IFERROR(INDEX('macs_ips'!$C$2:$C$403,AGGREGATE(15,6,(ROW('macs_ips'!$A$2:$A$403)-ROW(INDEX('macs_ips'!$A$2:$A$403,1,1))+1)/('macs_ips'!$E$2:$E$403=$J$1),ROW(A190))),"")</f>
        <v/>
      </c>
      <c r="D192" s="41">
        <f>IFERROR(INDEX('macs_ips'!$D$2:$D$403,AGGREGATE(15,6,(ROW('macs_ips'!$A$2:$A$403)-ROW(INDEX('macs_ips'!$A$2:$A$403,1,1))+1)/('macs_ips'!$E$2:$E$403=$J$1),ROW(A190))),"")</f>
        <v/>
      </c>
      <c r="E192" s="40">
        <f>IFERROR(INDEX('macs_ips'!$E$2:$E$403,AGGREGATE(15,6,(ROW('macs_ips'!$A$2:$A$403)-ROW(INDEX('macs_ips'!$A$2:$A$403,1,1))+1)/('macs_ips'!$E$2:$E$403=$J$1),ROW(A190))),"")</f>
        <v/>
      </c>
      <c r="F192" s="41">
        <f>IFERROR(INDEX('macs_ips'!$F$2:$F$403,AGGREGATE(15,6,(ROW('macs_ips'!$A$2:$A$403)-ROW(INDEX('macs_ips'!$A$2:$A$403,1,1))+1)/('macs_ips'!$E$2:$E$403=$J$1),ROW(A190))),"")</f>
        <v/>
      </c>
      <c r="G192" s="40">
        <f>IFERROR(INDEX('macs_ips'!$G$2:$G$403,AGGREGATE(15,6,(ROW('macs_ips'!$A$2:$A$403)-ROW(INDEX('macs_ips'!$A$2:$A$403,1,1))+1)/('macs_ips'!$E$2:$E$403=$J$1),ROW(A190))),"")</f>
        <v/>
      </c>
    </row>
    <row r="193">
      <c r="A193" s="40">
        <f>IFERROR(INDEX('macs_ips'!$A$2:$A$403,AGGREGATE(15,6,(ROW('macs_ips'!$A$2:$A$403)-ROW(INDEX('macs_ips'!$A$2:$A$403,1,1))+1)/('macs_ips'!$E$2:$E$403=$J$1),ROW(A191))),"")</f>
        <v/>
      </c>
      <c r="B193" s="40">
        <f>IFERROR(INDEX('macs_ips'!$B$2:$B$403,AGGREGATE(15,6,(ROW('macs_ips'!$A$2:$A$403)-ROW(INDEX('macs_ips'!$A$2:$A$403,1,1))+1)/('macs_ips'!$E$2:$E$403=$J$1),ROW(A191))),"")</f>
        <v/>
      </c>
      <c r="C193" s="40">
        <f>IFERROR(INDEX('macs_ips'!$C$2:$C$403,AGGREGATE(15,6,(ROW('macs_ips'!$A$2:$A$403)-ROW(INDEX('macs_ips'!$A$2:$A$403,1,1))+1)/('macs_ips'!$E$2:$E$403=$J$1),ROW(A191))),"")</f>
        <v/>
      </c>
      <c r="D193" s="41">
        <f>IFERROR(INDEX('macs_ips'!$D$2:$D$403,AGGREGATE(15,6,(ROW('macs_ips'!$A$2:$A$403)-ROW(INDEX('macs_ips'!$A$2:$A$403,1,1))+1)/('macs_ips'!$E$2:$E$403=$J$1),ROW(A191))),"")</f>
        <v/>
      </c>
      <c r="E193" s="40">
        <f>IFERROR(INDEX('macs_ips'!$E$2:$E$403,AGGREGATE(15,6,(ROW('macs_ips'!$A$2:$A$403)-ROW(INDEX('macs_ips'!$A$2:$A$403,1,1))+1)/('macs_ips'!$E$2:$E$403=$J$1),ROW(A191))),"")</f>
        <v/>
      </c>
      <c r="F193" s="41">
        <f>IFERROR(INDEX('macs_ips'!$F$2:$F$403,AGGREGATE(15,6,(ROW('macs_ips'!$A$2:$A$403)-ROW(INDEX('macs_ips'!$A$2:$A$403,1,1))+1)/('macs_ips'!$E$2:$E$403=$J$1),ROW(A191))),"")</f>
        <v/>
      </c>
      <c r="G193" s="40">
        <f>IFERROR(INDEX('macs_ips'!$G$2:$G$403,AGGREGATE(15,6,(ROW('macs_ips'!$A$2:$A$403)-ROW(INDEX('macs_ips'!$A$2:$A$403,1,1))+1)/('macs_ips'!$E$2:$E$403=$J$1),ROW(A191))),"")</f>
        <v/>
      </c>
    </row>
    <row r="194">
      <c r="A194" s="40">
        <f>IFERROR(INDEX('macs_ips'!$A$2:$A$403,AGGREGATE(15,6,(ROW('macs_ips'!$A$2:$A$403)-ROW(INDEX('macs_ips'!$A$2:$A$403,1,1))+1)/('macs_ips'!$E$2:$E$403=$J$1),ROW(A192))),"")</f>
        <v/>
      </c>
      <c r="B194" s="40">
        <f>IFERROR(INDEX('macs_ips'!$B$2:$B$403,AGGREGATE(15,6,(ROW('macs_ips'!$A$2:$A$403)-ROW(INDEX('macs_ips'!$A$2:$A$403,1,1))+1)/('macs_ips'!$E$2:$E$403=$J$1),ROW(A192))),"")</f>
        <v/>
      </c>
      <c r="C194" s="40">
        <f>IFERROR(INDEX('macs_ips'!$C$2:$C$403,AGGREGATE(15,6,(ROW('macs_ips'!$A$2:$A$403)-ROW(INDEX('macs_ips'!$A$2:$A$403,1,1))+1)/('macs_ips'!$E$2:$E$403=$J$1),ROW(A192))),"")</f>
        <v/>
      </c>
      <c r="D194" s="41">
        <f>IFERROR(INDEX('macs_ips'!$D$2:$D$403,AGGREGATE(15,6,(ROW('macs_ips'!$A$2:$A$403)-ROW(INDEX('macs_ips'!$A$2:$A$403,1,1))+1)/('macs_ips'!$E$2:$E$403=$J$1),ROW(A192))),"")</f>
        <v/>
      </c>
      <c r="E194" s="40">
        <f>IFERROR(INDEX('macs_ips'!$E$2:$E$403,AGGREGATE(15,6,(ROW('macs_ips'!$A$2:$A$403)-ROW(INDEX('macs_ips'!$A$2:$A$403,1,1))+1)/('macs_ips'!$E$2:$E$403=$J$1),ROW(A192))),"")</f>
        <v/>
      </c>
      <c r="F194" s="41">
        <f>IFERROR(INDEX('macs_ips'!$F$2:$F$403,AGGREGATE(15,6,(ROW('macs_ips'!$A$2:$A$403)-ROW(INDEX('macs_ips'!$A$2:$A$403,1,1))+1)/('macs_ips'!$E$2:$E$403=$J$1),ROW(A192))),"")</f>
        <v/>
      </c>
      <c r="G194" s="40">
        <f>IFERROR(INDEX('macs_ips'!$G$2:$G$403,AGGREGATE(15,6,(ROW('macs_ips'!$A$2:$A$403)-ROW(INDEX('macs_ips'!$A$2:$A$403,1,1))+1)/('macs_ips'!$E$2:$E$403=$J$1),ROW(A192))),"")</f>
        <v/>
      </c>
    </row>
    <row r="195">
      <c r="A195" s="40">
        <f>IFERROR(INDEX('macs_ips'!$A$2:$A$403,AGGREGATE(15,6,(ROW('macs_ips'!$A$2:$A$403)-ROW(INDEX('macs_ips'!$A$2:$A$403,1,1))+1)/('macs_ips'!$E$2:$E$403=$J$1),ROW(A193))),"")</f>
        <v/>
      </c>
      <c r="B195" s="40">
        <f>IFERROR(INDEX('macs_ips'!$B$2:$B$403,AGGREGATE(15,6,(ROW('macs_ips'!$A$2:$A$403)-ROW(INDEX('macs_ips'!$A$2:$A$403,1,1))+1)/('macs_ips'!$E$2:$E$403=$J$1),ROW(A193))),"")</f>
        <v/>
      </c>
      <c r="C195" s="40">
        <f>IFERROR(INDEX('macs_ips'!$C$2:$C$403,AGGREGATE(15,6,(ROW('macs_ips'!$A$2:$A$403)-ROW(INDEX('macs_ips'!$A$2:$A$403,1,1))+1)/('macs_ips'!$E$2:$E$403=$J$1),ROW(A193))),"")</f>
        <v/>
      </c>
      <c r="D195" s="41">
        <f>IFERROR(INDEX('macs_ips'!$D$2:$D$403,AGGREGATE(15,6,(ROW('macs_ips'!$A$2:$A$403)-ROW(INDEX('macs_ips'!$A$2:$A$403,1,1))+1)/('macs_ips'!$E$2:$E$403=$J$1),ROW(A193))),"")</f>
        <v/>
      </c>
      <c r="E195" s="40">
        <f>IFERROR(INDEX('macs_ips'!$E$2:$E$403,AGGREGATE(15,6,(ROW('macs_ips'!$A$2:$A$403)-ROW(INDEX('macs_ips'!$A$2:$A$403,1,1))+1)/('macs_ips'!$E$2:$E$403=$J$1),ROW(A193))),"")</f>
        <v/>
      </c>
      <c r="F195" s="41">
        <f>IFERROR(INDEX('macs_ips'!$F$2:$F$403,AGGREGATE(15,6,(ROW('macs_ips'!$A$2:$A$403)-ROW(INDEX('macs_ips'!$A$2:$A$403,1,1))+1)/('macs_ips'!$E$2:$E$403=$J$1),ROW(A193))),"")</f>
        <v/>
      </c>
      <c r="G195" s="40">
        <f>IFERROR(INDEX('macs_ips'!$G$2:$G$403,AGGREGATE(15,6,(ROW('macs_ips'!$A$2:$A$403)-ROW(INDEX('macs_ips'!$A$2:$A$403,1,1))+1)/('macs_ips'!$E$2:$E$403=$J$1),ROW(A193))),"")</f>
        <v/>
      </c>
    </row>
    <row r="196">
      <c r="A196" s="40">
        <f>IFERROR(INDEX('macs_ips'!$A$2:$A$403,AGGREGATE(15,6,(ROW('macs_ips'!$A$2:$A$403)-ROW(INDEX('macs_ips'!$A$2:$A$403,1,1))+1)/('macs_ips'!$E$2:$E$403=$J$1),ROW(A194))),"")</f>
        <v/>
      </c>
      <c r="B196" s="40">
        <f>IFERROR(INDEX('macs_ips'!$B$2:$B$403,AGGREGATE(15,6,(ROW('macs_ips'!$A$2:$A$403)-ROW(INDEX('macs_ips'!$A$2:$A$403,1,1))+1)/('macs_ips'!$E$2:$E$403=$J$1),ROW(A194))),"")</f>
        <v/>
      </c>
      <c r="C196" s="40">
        <f>IFERROR(INDEX('macs_ips'!$C$2:$C$403,AGGREGATE(15,6,(ROW('macs_ips'!$A$2:$A$403)-ROW(INDEX('macs_ips'!$A$2:$A$403,1,1))+1)/('macs_ips'!$E$2:$E$403=$J$1),ROW(A194))),"")</f>
        <v/>
      </c>
      <c r="D196" s="41">
        <f>IFERROR(INDEX('macs_ips'!$D$2:$D$403,AGGREGATE(15,6,(ROW('macs_ips'!$A$2:$A$403)-ROW(INDEX('macs_ips'!$A$2:$A$403,1,1))+1)/('macs_ips'!$E$2:$E$403=$J$1),ROW(A194))),"")</f>
        <v/>
      </c>
      <c r="E196" s="40">
        <f>IFERROR(INDEX('macs_ips'!$E$2:$E$403,AGGREGATE(15,6,(ROW('macs_ips'!$A$2:$A$403)-ROW(INDEX('macs_ips'!$A$2:$A$403,1,1))+1)/('macs_ips'!$E$2:$E$403=$J$1),ROW(A194))),"")</f>
        <v/>
      </c>
      <c r="F196" s="41">
        <f>IFERROR(INDEX('macs_ips'!$F$2:$F$403,AGGREGATE(15,6,(ROW('macs_ips'!$A$2:$A$403)-ROW(INDEX('macs_ips'!$A$2:$A$403,1,1))+1)/('macs_ips'!$E$2:$E$403=$J$1),ROW(A194))),"")</f>
        <v/>
      </c>
      <c r="G196" s="40">
        <f>IFERROR(INDEX('macs_ips'!$G$2:$G$403,AGGREGATE(15,6,(ROW('macs_ips'!$A$2:$A$403)-ROW(INDEX('macs_ips'!$A$2:$A$403,1,1))+1)/('macs_ips'!$E$2:$E$403=$J$1),ROW(A194))),"")</f>
        <v/>
      </c>
    </row>
    <row r="197">
      <c r="A197" s="40">
        <f>IFERROR(INDEX('macs_ips'!$A$2:$A$403,AGGREGATE(15,6,(ROW('macs_ips'!$A$2:$A$403)-ROW(INDEX('macs_ips'!$A$2:$A$403,1,1))+1)/('macs_ips'!$E$2:$E$403=$J$1),ROW(A195))),"")</f>
        <v/>
      </c>
      <c r="B197" s="40">
        <f>IFERROR(INDEX('macs_ips'!$B$2:$B$403,AGGREGATE(15,6,(ROW('macs_ips'!$A$2:$A$403)-ROW(INDEX('macs_ips'!$A$2:$A$403,1,1))+1)/('macs_ips'!$E$2:$E$403=$J$1),ROW(A195))),"")</f>
        <v/>
      </c>
      <c r="C197" s="40">
        <f>IFERROR(INDEX('macs_ips'!$C$2:$C$403,AGGREGATE(15,6,(ROW('macs_ips'!$A$2:$A$403)-ROW(INDEX('macs_ips'!$A$2:$A$403,1,1))+1)/('macs_ips'!$E$2:$E$403=$J$1),ROW(A195))),"")</f>
        <v/>
      </c>
      <c r="D197" s="41">
        <f>IFERROR(INDEX('macs_ips'!$D$2:$D$403,AGGREGATE(15,6,(ROW('macs_ips'!$A$2:$A$403)-ROW(INDEX('macs_ips'!$A$2:$A$403,1,1))+1)/('macs_ips'!$E$2:$E$403=$J$1),ROW(A195))),"")</f>
        <v/>
      </c>
      <c r="E197" s="40">
        <f>IFERROR(INDEX('macs_ips'!$E$2:$E$403,AGGREGATE(15,6,(ROW('macs_ips'!$A$2:$A$403)-ROW(INDEX('macs_ips'!$A$2:$A$403,1,1))+1)/('macs_ips'!$E$2:$E$403=$J$1),ROW(A195))),"")</f>
        <v/>
      </c>
      <c r="F197" s="41">
        <f>IFERROR(INDEX('macs_ips'!$F$2:$F$403,AGGREGATE(15,6,(ROW('macs_ips'!$A$2:$A$403)-ROW(INDEX('macs_ips'!$A$2:$A$403,1,1))+1)/('macs_ips'!$E$2:$E$403=$J$1),ROW(A195))),"")</f>
        <v/>
      </c>
      <c r="G197" s="40">
        <f>IFERROR(INDEX('macs_ips'!$G$2:$G$403,AGGREGATE(15,6,(ROW('macs_ips'!$A$2:$A$403)-ROW(INDEX('macs_ips'!$A$2:$A$403,1,1))+1)/('macs_ips'!$E$2:$E$403=$J$1),ROW(A195))),"")</f>
        <v/>
      </c>
    </row>
    <row r="198">
      <c r="A198" s="40">
        <f>IFERROR(INDEX('macs_ips'!$A$2:$A$403,AGGREGATE(15,6,(ROW('macs_ips'!$A$2:$A$403)-ROW(INDEX('macs_ips'!$A$2:$A$403,1,1))+1)/('macs_ips'!$E$2:$E$403=$J$1),ROW(A196))),"")</f>
        <v/>
      </c>
      <c r="B198" s="40">
        <f>IFERROR(INDEX('macs_ips'!$B$2:$B$403,AGGREGATE(15,6,(ROW('macs_ips'!$A$2:$A$403)-ROW(INDEX('macs_ips'!$A$2:$A$403,1,1))+1)/('macs_ips'!$E$2:$E$403=$J$1),ROW(A196))),"")</f>
        <v/>
      </c>
      <c r="C198" s="40">
        <f>IFERROR(INDEX('macs_ips'!$C$2:$C$403,AGGREGATE(15,6,(ROW('macs_ips'!$A$2:$A$403)-ROW(INDEX('macs_ips'!$A$2:$A$403,1,1))+1)/('macs_ips'!$E$2:$E$403=$J$1),ROW(A196))),"")</f>
        <v/>
      </c>
      <c r="D198" s="41">
        <f>IFERROR(INDEX('macs_ips'!$D$2:$D$403,AGGREGATE(15,6,(ROW('macs_ips'!$A$2:$A$403)-ROW(INDEX('macs_ips'!$A$2:$A$403,1,1))+1)/('macs_ips'!$E$2:$E$403=$J$1),ROW(A196))),"")</f>
        <v/>
      </c>
      <c r="E198" s="40">
        <f>IFERROR(INDEX('macs_ips'!$E$2:$E$403,AGGREGATE(15,6,(ROW('macs_ips'!$A$2:$A$403)-ROW(INDEX('macs_ips'!$A$2:$A$403,1,1))+1)/('macs_ips'!$E$2:$E$403=$J$1),ROW(A196))),"")</f>
        <v/>
      </c>
      <c r="F198" s="41">
        <f>IFERROR(INDEX('macs_ips'!$F$2:$F$403,AGGREGATE(15,6,(ROW('macs_ips'!$A$2:$A$403)-ROW(INDEX('macs_ips'!$A$2:$A$403,1,1))+1)/('macs_ips'!$E$2:$E$403=$J$1),ROW(A196))),"")</f>
        <v/>
      </c>
      <c r="G198" s="40">
        <f>IFERROR(INDEX('macs_ips'!$G$2:$G$403,AGGREGATE(15,6,(ROW('macs_ips'!$A$2:$A$403)-ROW(INDEX('macs_ips'!$A$2:$A$403,1,1))+1)/('macs_ips'!$E$2:$E$403=$J$1),ROW(A196))),"")</f>
        <v/>
      </c>
    </row>
    <row r="199">
      <c r="A199" s="40">
        <f>IFERROR(INDEX('macs_ips'!$A$2:$A$403,AGGREGATE(15,6,(ROW('macs_ips'!$A$2:$A$403)-ROW(INDEX('macs_ips'!$A$2:$A$403,1,1))+1)/('macs_ips'!$E$2:$E$403=$J$1),ROW(A197))),"")</f>
        <v/>
      </c>
      <c r="B199" s="40">
        <f>IFERROR(INDEX('macs_ips'!$B$2:$B$403,AGGREGATE(15,6,(ROW('macs_ips'!$A$2:$A$403)-ROW(INDEX('macs_ips'!$A$2:$A$403,1,1))+1)/('macs_ips'!$E$2:$E$403=$J$1),ROW(A197))),"")</f>
        <v/>
      </c>
      <c r="C199" s="40">
        <f>IFERROR(INDEX('macs_ips'!$C$2:$C$403,AGGREGATE(15,6,(ROW('macs_ips'!$A$2:$A$403)-ROW(INDEX('macs_ips'!$A$2:$A$403,1,1))+1)/('macs_ips'!$E$2:$E$403=$J$1),ROW(A197))),"")</f>
        <v/>
      </c>
      <c r="D199" s="41">
        <f>IFERROR(INDEX('macs_ips'!$D$2:$D$403,AGGREGATE(15,6,(ROW('macs_ips'!$A$2:$A$403)-ROW(INDEX('macs_ips'!$A$2:$A$403,1,1))+1)/('macs_ips'!$E$2:$E$403=$J$1),ROW(A197))),"")</f>
        <v/>
      </c>
      <c r="E199" s="40">
        <f>IFERROR(INDEX('macs_ips'!$E$2:$E$403,AGGREGATE(15,6,(ROW('macs_ips'!$A$2:$A$403)-ROW(INDEX('macs_ips'!$A$2:$A$403,1,1))+1)/('macs_ips'!$E$2:$E$403=$J$1),ROW(A197))),"")</f>
        <v/>
      </c>
      <c r="F199" s="41">
        <f>IFERROR(INDEX('macs_ips'!$F$2:$F$403,AGGREGATE(15,6,(ROW('macs_ips'!$A$2:$A$403)-ROW(INDEX('macs_ips'!$A$2:$A$403,1,1))+1)/('macs_ips'!$E$2:$E$403=$J$1),ROW(A197))),"")</f>
        <v/>
      </c>
      <c r="G199" s="40">
        <f>IFERROR(INDEX('macs_ips'!$G$2:$G$403,AGGREGATE(15,6,(ROW('macs_ips'!$A$2:$A$403)-ROW(INDEX('macs_ips'!$A$2:$A$403,1,1))+1)/('macs_ips'!$E$2:$E$403=$J$1),ROW(A197))),"")</f>
        <v/>
      </c>
    </row>
    <row r="200">
      <c r="A200" s="40">
        <f>IFERROR(INDEX('macs_ips'!$A$2:$A$403,AGGREGATE(15,6,(ROW('macs_ips'!$A$2:$A$403)-ROW(INDEX('macs_ips'!$A$2:$A$403,1,1))+1)/('macs_ips'!$E$2:$E$403=$J$1),ROW(A198))),"")</f>
        <v/>
      </c>
      <c r="B200" s="40">
        <f>IFERROR(INDEX('macs_ips'!$B$2:$B$403,AGGREGATE(15,6,(ROW('macs_ips'!$A$2:$A$403)-ROW(INDEX('macs_ips'!$A$2:$A$403,1,1))+1)/('macs_ips'!$E$2:$E$403=$J$1),ROW(A198))),"")</f>
        <v/>
      </c>
      <c r="C200" s="40">
        <f>IFERROR(INDEX('macs_ips'!$C$2:$C$403,AGGREGATE(15,6,(ROW('macs_ips'!$A$2:$A$403)-ROW(INDEX('macs_ips'!$A$2:$A$403,1,1))+1)/('macs_ips'!$E$2:$E$403=$J$1),ROW(A198))),"")</f>
        <v/>
      </c>
      <c r="D200" s="41">
        <f>IFERROR(INDEX('macs_ips'!$D$2:$D$403,AGGREGATE(15,6,(ROW('macs_ips'!$A$2:$A$403)-ROW(INDEX('macs_ips'!$A$2:$A$403,1,1))+1)/('macs_ips'!$E$2:$E$403=$J$1),ROW(A198))),"")</f>
        <v/>
      </c>
      <c r="E200" s="40">
        <f>IFERROR(INDEX('macs_ips'!$E$2:$E$403,AGGREGATE(15,6,(ROW('macs_ips'!$A$2:$A$403)-ROW(INDEX('macs_ips'!$A$2:$A$403,1,1))+1)/('macs_ips'!$E$2:$E$403=$J$1),ROW(A198))),"")</f>
        <v/>
      </c>
      <c r="F200" s="41">
        <f>IFERROR(INDEX('macs_ips'!$F$2:$F$403,AGGREGATE(15,6,(ROW('macs_ips'!$A$2:$A$403)-ROW(INDEX('macs_ips'!$A$2:$A$403,1,1))+1)/('macs_ips'!$E$2:$E$403=$J$1),ROW(A198))),"")</f>
        <v/>
      </c>
      <c r="G200" s="40">
        <f>IFERROR(INDEX('macs_ips'!$G$2:$G$403,AGGREGATE(15,6,(ROW('macs_ips'!$A$2:$A$403)-ROW(INDEX('macs_ips'!$A$2:$A$403,1,1))+1)/('macs_ips'!$E$2:$E$403=$J$1),ROW(A198))),"")</f>
        <v/>
      </c>
    </row>
    <row r="201">
      <c r="A201" s="40">
        <f>IFERROR(INDEX('macs_ips'!$A$2:$A$403,AGGREGATE(15,6,(ROW('macs_ips'!$A$2:$A$403)-ROW(INDEX('macs_ips'!$A$2:$A$403,1,1))+1)/('macs_ips'!$E$2:$E$403=$J$1),ROW(A199))),"")</f>
        <v/>
      </c>
      <c r="B201" s="40">
        <f>IFERROR(INDEX('macs_ips'!$B$2:$B$403,AGGREGATE(15,6,(ROW('macs_ips'!$A$2:$A$403)-ROW(INDEX('macs_ips'!$A$2:$A$403,1,1))+1)/('macs_ips'!$E$2:$E$403=$J$1),ROW(A199))),"")</f>
        <v/>
      </c>
      <c r="C201" s="40">
        <f>IFERROR(INDEX('macs_ips'!$C$2:$C$403,AGGREGATE(15,6,(ROW('macs_ips'!$A$2:$A$403)-ROW(INDEX('macs_ips'!$A$2:$A$403,1,1))+1)/('macs_ips'!$E$2:$E$403=$J$1),ROW(A199))),"")</f>
        <v/>
      </c>
      <c r="D201" s="41">
        <f>IFERROR(INDEX('macs_ips'!$D$2:$D$403,AGGREGATE(15,6,(ROW('macs_ips'!$A$2:$A$403)-ROW(INDEX('macs_ips'!$A$2:$A$403,1,1))+1)/('macs_ips'!$E$2:$E$403=$J$1),ROW(A199))),"")</f>
        <v/>
      </c>
      <c r="E201" s="40">
        <f>IFERROR(INDEX('macs_ips'!$E$2:$E$403,AGGREGATE(15,6,(ROW('macs_ips'!$A$2:$A$403)-ROW(INDEX('macs_ips'!$A$2:$A$403,1,1))+1)/('macs_ips'!$E$2:$E$403=$J$1),ROW(A199))),"")</f>
        <v/>
      </c>
      <c r="F201" s="41">
        <f>IFERROR(INDEX('macs_ips'!$F$2:$F$403,AGGREGATE(15,6,(ROW('macs_ips'!$A$2:$A$403)-ROW(INDEX('macs_ips'!$A$2:$A$403,1,1))+1)/('macs_ips'!$E$2:$E$403=$J$1),ROW(A199))),"")</f>
        <v/>
      </c>
      <c r="G201" s="40">
        <f>IFERROR(INDEX('macs_ips'!$G$2:$G$403,AGGREGATE(15,6,(ROW('macs_ips'!$A$2:$A$403)-ROW(INDEX('macs_ips'!$A$2:$A$403,1,1))+1)/('macs_ips'!$E$2:$E$403=$J$1),ROW(A199))),"")</f>
        <v/>
      </c>
    </row>
    <row r="202">
      <c r="A202" s="40">
        <f>IFERROR(INDEX('macs_ips'!$A$2:$A$403,AGGREGATE(15,6,(ROW('macs_ips'!$A$2:$A$403)-ROW(INDEX('macs_ips'!$A$2:$A$403,1,1))+1)/('macs_ips'!$E$2:$E$403=$J$1),ROW(A200))),"")</f>
        <v/>
      </c>
      <c r="B202" s="40">
        <f>IFERROR(INDEX('macs_ips'!$B$2:$B$403,AGGREGATE(15,6,(ROW('macs_ips'!$A$2:$A$403)-ROW(INDEX('macs_ips'!$A$2:$A$403,1,1))+1)/('macs_ips'!$E$2:$E$403=$J$1),ROW(A200))),"")</f>
        <v/>
      </c>
      <c r="C202" s="40">
        <f>IFERROR(INDEX('macs_ips'!$C$2:$C$403,AGGREGATE(15,6,(ROW('macs_ips'!$A$2:$A$403)-ROW(INDEX('macs_ips'!$A$2:$A$403,1,1))+1)/('macs_ips'!$E$2:$E$403=$J$1),ROW(A200))),"")</f>
        <v/>
      </c>
      <c r="D202" s="41">
        <f>IFERROR(INDEX('macs_ips'!$D$2:$D$403,AGGREGATE(15,6,(ROW('macs_ips'!$A$2:$A$403)-ROW(INDEX('macs_ips'!$A$2:$A$403,1,1))+1)/('macs_ips'!$E$2:$E$403=$J$1),ROW(A200))),"")</f>
        <v/>
      </c>
      <c r="E202" s="40">
        <f>IFERROR(INDEX('macs_ips'!$E$2:$E$403,AGGREGATE(15,6,(ROW('macs_ips'!$A$2:$A$403)-ROW(INDEX('macs_ips'!$A$2:$A$403,1,1))+1)/('macs_ips'!$E$2:$E$403=$J$1),ROW(A200))),"")</f>
        <v/>
      </c>
      <c r="F202" s="41">
        <f>IFERROR(INDEX('macs_ips'!$F$2:$F$403,AGGREGATE(15,6,(ROW('macs_ips'!$A$2:$A$403)-ROW(INDEX('macs_ips'!$A$2:$A$403,1,1))+1)/('macs_ips'!$E$2:$E$403=$J$1),ROW(A200))),"")</f>
        <v/>
      </c>
      <c r="G202" s="40">
        <f>IFERROR(INDEX('macs_ips'!$G$2:$G$403,AGGREGATE(15,6,(ROW('macs_ips'!$A$2:$A$403)-ROW(INDEX('macs_ips'!$A$2:$A$403,1,1))+1)/('macs_ips'!$E$2:$E$403=$J$1),ROW(A200))),"")</f>
        <v/>
      </c>
    </row>
    <row r="203">
      <c r="A203" s="40">
        <f>IFERROR(INDEX('macs_ips'!$A$2:$A$403,AGGREGATE(15,6,(ROW('macs_ips'!$A$2:$A$403)-ROW(INDEX('macs_ips'!$A$2:$A$403,1,1))+1)/('macs_ips'!$E$2:$E$403=$J$1),ROW(A201))),"")</f>
        <v/>
      </c>
      <c r="B203" s="40">
        <f>IFERROR(INDEX('macs_ips'!$B$2:$B$403,AGGREGATE(15,6,(ROW('macs_ips'!$A$2:$A$403)-ROW(INDEX('macs_ips'!$A$2:$A$403,1,1))+1)/('macs_ips'!$E$2:$E$403=$J$1),ROW(A201))),"")</f>
        <v/>
      </c>
      <c r="C203" s="40">
        <f>IFERROR(INDEX('macs_ips'!$C$2:$C$403,AGGREGATE(15,6,(ROW('macs_ips'!$A$2:$A$403)-ROW(INDEX('macs_ips'!$A$2:$A$403,1,1))+1)/('macs_ips'!$E$2:$E$403=$J$1),ROW(A201))),"")</f>
        <v/>
      </c>
      <c r="D203" s="41">
        <f>IFERROR(INDEX('macs_ips'!$D$2:$D$403,AGGREGATE(15,6,(ROW('macs_ips'!$A$2:$A$403)-ROW(INDEX('macs_ips'!$A$2:$A$403,1,1))+1)/('macs_ips'!$E$2:$E$403=$J$1),ROW(A201))),"")</f>
        <v/>
      </c>
      <c r="E203" s="40">
        <f>IFERROR(INDEX('macs_ips'!$E$2:$E$403,AGGREGATE(15,6,(ROW('macs_ips'!$A$2:$A$403)-ROW(INDEX('macs_ips'!$A$2:$A$403,1,1))+1)/('macs_ips'!$E$2:$E$403=$J$1),ROW(A201))),"")</f>
        <v/>
      </c>
      <c r="F203" s="41">
        <f>IFERROR(INDEX('macs_ips'!$F$2:$F$403,AGGREGATE(15,6,(ROW('macs_ips'!$A$2:$A$403)-ROW(INDEX('macs_ips'!$A$2:$A$403,1,1))+1)/('macs_ips'!$E$2:$E$403=$J$1),ROW(A201))),"")</f>
        <v/>
      </c>
      <c r="G203" s="40">
        <f>IFERROR(INDEX('macs_ips'!$G$2:$G$403,AGGREGATE(15,6,(ROW('macs_ips'!$A$2:$A$403)-ROW(INDEX('macs_ips'!$A$2:$A$403,1,1))+1)/('macs_ips'!$E$2:$E$403=$J$1),ROW(A201))),"")</f>
        <v/>
      </c>
    </row>
    <row r="204">
      <c r="A204" s="40">
        <f>IFERROR(INDEX('macs_ips'!$A$2:$A$403,AGGREGATE(15,6,(ROW('macs_ips'!$A$2:$A$403)-ROW(INDEX('macs_ips'!$A$2:$A$403,1,1))+1)/('macs_ips'!$E$2:$E$403=$J$1),ROW(A202))),"")</f>
        <v/>
      </c>
      <c r="B204" s="40">
        <f>IFERROR(INDEX('macs_ips'!$B$2:$B$403,AGGREGATE(15,6,(ROW('macs_ips'!$A$2:$A$403)-ROW(INDEX('macs_ips'!$A$2:$A$403,1,1))+1)/('macs_ips'!$E$2:$E$403=$J$1),ROW(A202))),"")</f>
        <v/>
      </c>
      <c r="C204" s="40">
        <f>IFERROR(INDEX('macs_ips'!$C$2:$C$403,AGGREGATE(15,6,(ROW('macs_ips'!$A$2:$A$403)-ROW(INDEX('macs_ips'!$A$2:$A$403,1,1))+1)/('macs_ips'!$E$2:$E$403=$J$1),ROW(A202))),"")</f>
        <v/>
      </c>
      <c r="D204" s="41">
        <f>IFERROR(INDEX('macs_ips'!$D$2:$D$403,AGGREGATE(15,6,(ROW('macs_ips'!$A$2:$A$403)-ROW(INDEX('macs_ips'!$A$2:$A$403,1,1))+1)/('macs_ips'!$E$2:$E$403=$J$1),ROW(A202))),"")</f>
        <v/>
      </c>
      <c r="E204" s="40">
        <f>IFERROR(INDEX('macs_ips'!$E$2:$E$403,AGGREGATE(15,6,(ROW('macs_ips'!$A$2:$A$403)-ROW(INDEX('macs_ips'!$A$2:$A$403,1,1))+1)/('macs_ips'!$E$2:$E$403=$J$1),ROW(A202))),"")</f>
        <v/>
      </c>
      <c r="F204" s="41">
        <f>IFERROR(INDEX('macs_ips'!$F$2:$F$403,AGGREGATE(15,6,(ROW('macs_ips'!$A$2:$A$403)-ROW(INDEX('macs_ips'!$A$2:$A$403,1,1))+1)/('macs_ips'!$E$2:$E$403=$J$1),ROW(A202))),"")</f>
        <v/>
      </c>
      <c r="G204" s="40">
        <f>IFERROR(INDEX('macs_ips'!$G$2:$G$403,AGGREGATE(15,6,(ROW('macs_ips'!$A$2:$A$403)-ROW(INDEX('macs_ips'!$A$2:$A$403,1,1))+1)/('macs_ips'!$E$2:$E$403=$J$1),ROW(A202))),"")</f>
        <v/>
      </c>
    </row>
    <row r="205">
      <c r="A205" s="40">
        <f>IFERROR(INDEX('macs_ips'!$A$2:$A$403,AGGREGATE(15,6,(ROW('macs_ips'!$A$2:$A$403)-ROW(INDEX('macs_ips'!$A$2:$A$403,1,1))+1)/('macs_ips'!$E$2:$E$403=$J$1),ROW(A203))),"")</f>
        <v/>
      </c>
      <c r="B205" s="40">
        <f>IFERROR(INDEX('macs_ips'!$B$2:$B$403,AGGREGATE(15,6,(ROW('macs_ips'!$A$2:$A$403)-ROW(INDEX('macs_ips'!$A$2:$A$403,1,1))+1)/('macs_ips'!$E$2:$E$403=$J$1),ROW(A203))),"")</f>
        <v/>
      </c>
      <c r="C205" s="40">
        <f>IFERROR(INDEX('macs_ips'!$C$2:$C$403,AGGREGATE(15,6,(ROW('macs_ips'!$A$2:$A$403)-ROW(INDEX('macs_ips'!$A$2:$A$403,1,1))+1)/('macs_ips'!$E$2:$E$403=$J$1),ROW(A203))),"")</f>
        <v/>
      </c>
      <c r="D205" s="41">
        <f>IFERROR(INDEX('macs_ips'!$D$2:$D$403,AGGREGATE(15,6,(ROW('macs_ips'!$A$2:$A$403)-ROW(INDEX('macs_ips'!$A$2:$A$403,1,1))+1)/('macs_ips'!$E$2:$E$403=$J$1),ROW(A203))),"")</f>
        <v/>
      </c>
      <c r="E205" s="40">
        <f>IFERROR(INDEX('macs_ips'!$E$2:$E$403,AGGREGATE(15,6,(ROW('macs_ips'!$A$2:$A$403)-ROW(INDEX('macs_ips'!$A$2:$A$403,1,1))+1)/('macs_ips'!$E$2:$E$403=$J$1),ROW(A203))),"")</f>
        <v/>
      </c>
      <c r="F205" s="41">
        <f>IFERROR(INDEX('macs_ips'!$F$2:$F$403,AGGREGATE(15,6,(ROW('macs_ips'!$A$2:$A$403)-ROW(INDEX('macs_ips'!$A$2:$A$403,1,1))+1)/('macs_ips'!$E$2:$E$403=$J$1),ROW(A203))),"")</f>
        <v/>
      </c>
      <c r="G205" s="40">
        <f>IFERROR(INDEX('macs_ips'!$G$2:$G$403,AGGREGATE(15,6,(ROW('macs_ips'!$A$2:$A$403)-ROW(INDEX('macs_ips'!$A$2:$A$403,1,1))+1)/('macs_ips'!$E$2:$E$403=$J$1),ROW(A203))),"")</f>
        <v/>
      </c>
    </row>
    <row r="206">
      <c r="A206" s="40">
        <f>IFERROR(INDEX('macs_ips'!$A$2:$A$403,AGGREGATE(15,6,(ROW('macs_ips'!$A$2:$A$403)-ROW(INDEX('macs_ips'!$A$2:$A$403,1,1))+1)/('macs_ips'!$E$2:$E$403=$J$1),ROW(A204))),"")</f>
        <v/>
      </c>
      <c r="B206" s="40">
        <f>IFERROR(INDEX('macs_ips'!$B$2:$B$403,AGGREGATE(15,6,(ROW('macs_ips'!$A$2:$A$403)-ROW(INDEX('macs_ips'!$A$2:$A$403,1,1))+1)/('macs_ips'!$E$2:$E$403=$J$1),ROW(A204))),"")</f>
        <v/>
      </c>
      <c r="C206" s="40">
        <f>IFERROR(INDEX('macs_ips'!$C$2:$C$403,AGGREGATE(15,6,(ROW('macs_ips'!$A$2:$A$403)-ROW(INDEX('macs_ips'!$A$2:$A$403,1,1))+1)/('macs_ips'!$E$2:$E$403=$J$1),ROW(A204))),"")</f>
        <v/>
      </c>
      <c r="D206" s="41">
        <f>IFERROR(INDEX('macs_ips'!$D$2:$D$403,AGGREGATE(15,6,(ROW('macs_ips'!$A$2:$A$403)-ROW(INDEX('macs_ips'!$A$2:$A$403,1,1))+1)/('macs_ips'!$E$2:$E$403=$J$1),ROW(A204))),"")</f>
        <v/>
      </c>
      <c r="E206" s="40">
        <f>IFERROR(INDEX('macs_ips'!$E$2:$E$403,AGGREGATE(15,6,(ROW('macs_ips'!$A$2:$A$403)-ROW(INDEX('macs_ips'!$A$2:$A$403,1,1))+1)/('macs_ips'!$E$2:$E$403=$J$1),ROW(A204))),"")</f>
        <v/>
      </c>
      <c r="F206" s="41">
        <f>IFERROR(INDEX('macs_ips'!$F$2:$F$403,AGGREGATE(15,6,(ROW('macs_ips'!$A$2:$A$403)-ROW(INDEX('macs_ips'!$A$2:$A$403,1,1))+1)/('macs_ips'!$E$2:$E$403=$J$1),ROW(A204))),"")</f>
        <v/>
      </c>
      <c r="G206" s="40">
        <f>IFERROR(INDEX('macs_ips'!$G$2:$G$403,AGGREGATE(15,6,(ROW('macs_ips'!$A$2:$A$403)-ROW(INDEX('macs_ips'!$A$2:$A$403,1,1))+1)/('macs_ips'!$E$2:$E$403=$J$1),ROW(A204))),"")</f>
        <v/>
      </c>
    </row>
    <row r="207">
      <c r="A207" s="40">
        <f>IFERROR(INDEX('macs_ips'!$A$2:$A$403,AGGREGATE(15,6,(ROW('macs_ips'!$A$2:$A$403)-ROW(INDEX('macs_ips'!$A$2:$A$403,1,1))+1)/('macs_ips'!$E$2:$E$403=$J$1),ROW(A205))),"")</f>
        <v/>
      </c>
      <c r="B207" s="40">
        <f>IFERROR(INDEX('macs_ips'!$B$2:$B$403,AGGREGATE(15,6,(ROW('macs_ips'!$A$2:$A$403)-ROW(INDEX('macs_ips'!$A$2:$A$403,1,1))+1)/('macs_ips'!$E$2:$E$403=$J$1),ROW(A205))),"")</f>
        <v/>
      </c>
      <c r="C207" s="40">
        <f>IFERROR(INDEX('macs_ips'!$C$2:$C$403,AGGREGATE(15,6,(ROW('macs_ips'!$A$2:$A$403)-ROW(INDEX('macs_ips'!$A$2:$A$403,1,1))+1)/('macs_ips'!$E$2:$E$403=$J$1),ROW(A205))),"")</f>
        <v/>
      </c>
      <c r="D207" s="41">
        <f>IFERROR(INDEX('macs_ips'!$D$2:$D$403,AGGREGATE(15,6,(ROW('macs_ips'!$A$2:$A$403)-ROW(INDEX('macs_ips'!$A$2:$A$403,1,1))+1)/('macs_ips'!$E$2:$E$403=$J$1),ROW(A205))),"")</f>
        <v/>
      </c>
      <c r="E207" s="40">
        <f>IFERROR(INDEX('macs_ips'!$E$2:$E$403,AGGREGATE(15,6,(ROW('macs_ips'!$A$2:$A$403)-ROW(INDEX('macs_ips'!$A$2:$A$403,1,1))+1)/('macs_ips'!$E$2:$E$403=$J$1),ROW(A205))),"")</f>
        <v/>
      </c>
      <c r="F207" s="41">
        <f>IFERROR(INDEX('macs_ips'!$F$2:$F$403,AGGREGATE(15,6,(ROW('macs_ips'!$A$2:$A$403)-ROW(INDEX('macs_ips'!$A$2:$A$403,1,1))+1)/('macs_ips'!$E$2:$E$403=$J$1),ROW(A205))),"")</f>
        <v/>
      </c>
      <c r="G207" s="40">
        <f>IFERROR(INDEX('macs_ips'!$G$2:$G$403,AGGREGATE(15,6,(ROW('macs_ips'!$A$2:$A$403)-ROW(INDEX('macs_ips'!$A$2:$A$403,1,1))+1)/('macs_ips'!$E$2:$E$403=$J$1),ROW(A205))),"")</f>
        <v/>
      </c>
    </row>
    <row r="208">
      <c r="A208" s="40">
        <f>IFERROR(INDEX('macs_ips'!$A$2:$A$403,AGGREGATE(15,6,(ROW('macs_ips'!$A$2:$A$403)-ROW(INDEX('macs_ips'!$A$2:$A$403,1,1))+1)/('macs_ips'!$E$2:$E$403=$J$1),ROW(A206))),"")</f>
        <v/>
      </c>
      <c r="B208" s="40">
        <f>IFERROR(INDEX('macs_ips'!$B$2:$B$403,AGGREGATE(15,6,(ROW('macs_ips'!$A$2:$A$403)-ROW(INDEX('macs_ips'!$A$2:$A$403,1,1))+1)/('macs_ips'!$E$2:$E$403=$J$1),ROW(A206))),"")</f>
        <v/>
      </c>
      <c r="C208" s="40">
        <f>IFERROR(INDEX('macs_ips'!$C$2:$C$403,AGGREGATE(15,6,(ROW('macs_ips'!$A$2:$A$403)-ROW(INDEX('macs_ips'!$A$2:$A$403,1,1))+1)/('macs_ips'!$E$2:$E$403=$J$1),ROW(A206))),"")</f>
        <v/>
      </c>
      <c r="D208" s="41">
        <f>IFERROR(INDEX('macs_ips'!$D$2:$D$403,AGGREGATE(15,6,(ROW('macs_ips'!$A$2:$A$403)-ROW(INDEX('macs_ips'!$A$2:$A$403,1,1))+1)/('macs_ips'!$E$2:$E$403=$J$1),ROW(A206))),"")</f>
        <v/>
      </c>
      <c r="E208" s="40">
        <f>IFERROR(INDEX('macs_ips'!$E$2:$E$403,AGGREGATE(15,6,(ROW('macs_ips'!$A$2:$A$403)-ROW(INDEX('macs_ips'!$A$2:$A$403,1,1))+1)/('macs_ips'!$E$2:$E$403=$J$1),ROW(A206))),"")</f>
        <v/>
      </c>
      <c r="F208" s="41">
        <f>IFERROR(INDEX('macs_ips'!$F$2:$F$403,AGGREGATE(15,6,(ROW('macs_ips'!$A$2:$A$403)-ROW(INDEX('macs_ips'!$A$2:$A$403,1,1))+1)/('macs_ips'!$E$2:$E$403=$J$1),ROW(A206))),"")</f>
        <v/>
      </c>
      <c r="G208" s="40">
        <f>IFERROR(INDEX('macs_ips'!$G$2:$G$403,AGGREGATE(15,6,(ROW('macs_ips'!$A$2:$A$403)-ROW(INDEX('macs_ips'!$A$2:$A$403,1,1))+1)/('macs_ips'!$E$2:$E$403=$J$1),ROW(A206))),"")</f>
        <v/>
      </c>
    </row>
    <row r="209">
      <c r="A209" s="40">
        <f>IFERROR(INDEX('macs_ips'!$A$2:$A$403,AGGREGATE(15,6,(ROW('macs_ips'!$A$2:$A$403)-ROW(INDEX('macs_ips'!$A$2:$A$403,1,1))+1)/('macs_ips'!$E$2:$E$403=$J$1),ROW(A207))),"")</f>
        <v/>
      </c>
      <c r="B209" s="40">
        <f>IFERROR(INDEX('macs_ips'!$B$2:$B$403,AGGREGATE(15,6,(ROW('macs_ips'!$A$2:$A$403)-ROW(INDEX('macs_ips'!$A$2:$A$403,1,1))+1)/('macs_ips'!$E$2:$E$403=$J$1),ROW(A207))),"")</f>
        <v/>
      </c>
      <c r="C209" s="40">
        <f>IFERROR(INDEX('macs_ips'!$C$2:$C$403,AGGREGATE(15,6,(ROW('macs_ips'!$A$2:$A$403)-ROW(INDEX('macs_ips'!$A$2:$A$403,1,1))+1)/('macs_ips'!$E$2:$E$403=$J$1),ROW(A207))),"")</f>
        <v/>
      </c>
      <c r="D209" s="41">
        <f>IFERROR(INDEX('macs_ips'!$D$2:$D$403,AGGREGATE(15,6,(ROW('macs_ips'!$A$2:$A$403)-ROW(INDEX('macs_ips'!$A$2:$A$403,1,1))+1)/('macs_ips'!$E$2:$E$403=$J$1),ROW(A207))),"")</f>
        <v/>
      </c>
      <c r="E209" s="40">
        <f>IFERROR(INDEX('macs_ips'!$E$2:$E$403,AGGREGATE(15,6,(ROW('macs_ips'!$A$2:$A$403)-ROW(INDEX('macs_ips'!$A$2:$A$403,1,1))+1)/('macs_ips'!$E$2:$E$403=$J$1),ROW(A207))),"")</f>
        <v/>
      </c>
      <c r="F209" s="41">
        <f>IFERROR(INDEX('macs_ips'!$F$2:$F$403,AGGREGATE(15,6,(ROW('macs_ips'!$A$2:$A$403)-ROW(INDEX('macs_ips'!$A$2:$A$403,1,1))+1)/('macs_ips'!$E$2:$E$403=$J$1),ROW(A207))),"")</f>
        <v/>
      </c>
      <c r="G209" s="40">
        <f>IFERROR(INDEX('macs_ips'!$G$2:$G$403,AGGREGATE(15,6,(ROW('macs_ips'!$A$2:$A$403)-ROW(INDEX('macs_ips'!$A$2:$A$403,1,1))+1)/('macs_ips'!$E$2:$E$403=$J$1),ROW(A207))),"")</f>
        <v/>
      </c>
    </row>
    <row r="210">
      <c r="A210" s="40">
        <f>IFERROR(INDEX('macs_ips'!$A$2:$A$403,AGGREGATE(15,6,(ROW('macs_ips'!$A$2:$A$403)-ROW(INDEX('macs_ips'!$A$2:$A$403,1,1))+1)/('macs_ips'!$E$2:$E$403=$J$1),ROW(A208))),"")</f>
        <v/>
      </c>
      <c r="B210" s="40">
        <f>IFERROR(INDEX('macs_ips'!$B$2:$B$403,AGGREGATE(15,6,(ROW('macs_ips'!$A$2:$A$403)-ROW(INDEX('macs_ips'!$A$2:$A$403,1,1))+1)/('macs_ips'!$E$2:$E$403=$J$1),ROW(A208))),"")</f>
        <v/>
      </c>
      <c r="C210" s="40">
        <f>IFERROR(INDEX('macs_ips'!$C$2:$C$403,AGGREGATE(15,6,(ROW('macs_ips'!$A$2:$A$403)-ROW(INDEX('macs_ips'!$A$2:$A$403,1,1))+1)/('macs_ips'!$E$2:$E$403=$J$1),ROW(A208))),"")</f>
        <v/>
      </c>
      <c r="D210" s="41">
        <f>IFERROR(INDEX('macs_ips'!$D$2:$D$403,AGGREGATE(15,6,(ROW('macs_ips'!$A$2:$A$403)-ROW(INDEX('macs_ips'!$A$2:$A$403,1,1))+1)/('macs_ips'!$E$2:$E$403=$J$1),ROW(A208))),"")</f>
        <v/>
      </c>
      <c r="E210" s="40">
        <f>IFERROR(INDEX('macs_ips'!$E$2:$E$403,AGGREGATE(15,6,(ROW('macs_ips'!$A$2:$A$403)-ROW(INDEX('macs_ips'!$A$2:$A$403,1,1))+1)/('macs_ips'!$E$2:$E$403=$J$1),ROW(A208))),"")</f>
        <v/>
      </c>
      <c r="F210" s="41">
        <f>IFERROR(INDEX('macs_ips'!$F$2:$F$403,AGGREGATE(15,6,(ROW('macs_ips'!$A$2:$A$403)-ROW(INDEX('macs_ips'!$A$2:$A$403,1,1))+1)/('macs_ips'!$E$2:$E$403=$J$1),ROW(A208))),"")</f>
        <v/>
      </c>
      <c r="G210" s="40">
        <f>IFERROR(INDEX('macs_ips'!$G$2:$G$403,AGGREGATE(15,6,(ROW('macs_ips'!$A$2:$A$403)-ROW(INDEX('macs_ips'!$A$2:$A$403,1,1))+1)/('macs_ips'!$E$2:$E$403=$J$1),ROW(A208))),"")</f>
        <v/>
      </c>
    </row>
    <row r="211">
      <c r="A211" s="40">
        <f>IFERROR(INDEX('macs_ips'!$A$2:$A$403,AGGREGATE(15,6,(ROW('macs_ips'!$A$2:$A$403)-ROW(INDEX('macs_ips'!$A$2:$A$403,1,1))+1)/('macs_ips'!$E$2:$E$403=$J$1),ROW(A209))),"")</f>
        <v/>
      </c>
      <c r="B211" s="40">
        <f>IFERROR(INDEX('macs_ips'!$B$2:$B$403,AGGREGATE(15,6,(ROW('macs_ips'!$A$2:$A$403)-ROW(INDEX('macs_ips'!$A$2:$A$403,1,1))+1)/('macs_ips'!$E$2:$E$403=$J$1),ROW(A209))),"")</f>
        <v/>
      </c>
      <c r="C211" s="40">
        <f>IFERROR(INDEX('macs_ips'!$C$2:$C$403,AGGREGATE(15,6,(ROW('macs_ips'!$A$2:$A$403)-ROW(INDEX('macs_ips'!$A$2:$A$403,1,1))+1)/('macs_ips'!$E$2:$E$403=$J$1),ROW(A209))),"")</f>
        <v/>
      </c>
      <c r="D211" s="41">
        <f>IFERROR(INDEX('macs_ips'!$D$2:$D$403,AGGREGATE(15,6,(ROW('macs_ips'!$A$2:$A$403)-ROW(INDEX('macs_ips'!$A$2:$A$403,1,1))+1)/('macs_ips'!$E$2:$E$403=$J$1),ROW(A209))),"")</f>
        <v/>
      </c>
      <c r="E211" s="40">
        <f>IFERROR(INDEX('macs_ips'!$E$2:$E$403,AGGREGATE(15,6,(ROW('macs_ips'!$A$2:$A$403)-ROW(INDEX('macs_ips'!$A$2:$A$403,1,1))+1)/('macs_ips'!$E$2:$E$403=$J$1),ROW(A209))),"")</f>
        <v/>
      </c>
      <c r="F211" s="41">
        <f>IFERROR(INDEX('macs_ips'!$F$2:$F$403,AGGREGATE(15,6,(ROW('macs_ips'!$A$2:$A$403)-ROW(INDEX('macs_ips'!$A$2:$A$403,1,1))+1)/('macs_ips'!$E$2:$E$403=$J$1),ROW(A209))),"")</f>
        <v/>
      </c>
      <c r="G211" s="40">
        <f>IFERROR(INDEX('macs_ips'!$G$2:$G$403,AGGREGATE(15,6,(ROW('macs_ips'!$A$2:$A$403)-ROW(INDEX('macs_ips'!$A$2:$A$403,1,1))+1)/('macs_ips'!$E$2:$E$403=$J$1),ROW(A209))),"")</f>
        <v/>
      </c>
    </row>
    <row r="212">
      <c r="A212" s="40">
        <f>IFERROR(INDEX('macs_ips'!$A$2:$A$403,AGGREGATE(15,6,(ROW('macs_ips'!$A$2:$A$403)-ROW(INDEX('macs_ips'!$A$2:$A$403,1,1))+1)/('macs_ips'!$E$2:$E$403=$J$1),ROW(A210))),"")</f>
        <v/>
      </c>
      <c r="B212" s="40">
        <f>IFERROR(INDEX('macs_ips'!$B$2:$B$403,AGGREGATE(15,6,(ROW('macs_ips'!$A$2:$A$403)-ROW(INDEX('macs_ips'!$A$2:$A$403,1,1))+1)/('macs_ips'!$E$2:$E$403=$J$1),ROW(A210))),"")</f>
        <v/>
      </c>
      <c r="C212" s="40">
        <f>IFERROR(INDEX('macs_ips'!$C$2:$C$403,AGGREGATE(15,6,(ROW('macs_ips'!$A$2:$A$403)-ROW(INDEX('macs_ips'!$A$2:$A$403,1,1))+1)/('macs_ips'!$E$2:$E$403=$J$1),ROW(A210))),"")</f>
        <v/>
      </c>
      <c r="D212" s="41">
        <f>IFERROR(INDEX('macs_ips'!$D$2:$D$403,AGGREGATE(15,6,(ROW('macs_ips'!$A$2:$A$403)-ROW(INDEX('macs_ips'!$A$2:$A$403,1,1))+1)/('macs_ips'!$E$2:$E$403=$J$1),ROW(A210))),"")</f>
        <v/>
      </c>
      <c r="E212" s="40">
        <f>IFERROR(INDEX('macs_ips'!$E$2:$E$403,AGGREGATE(15,6,(ROW('macs_ips'!$A$2:$A$403)-ROW(INDEX('macs_ips'!$A$2:$A$403,1,1))+1)/('macs_ips'!$E$2:$E$403=$J$1),ROW(A210))),"")</f>
        <v/>
      </c>
      <c r="F212" s="41">
        <f>IFERROR(INDEX('macs_ips'!$F$2:$F$403,AGGREGATE(15,6,(ROW('macs_ips'!$A$2:$A$403)-ROW(INDEX('macs_ips'!$A$2:$A$403,1,1))+1)/('macs_ips'!$E$2:$E$403=$J$1),ROW(A210))),"")</f>
        <v/>
      </c>
      <c r="G212" s="40">
        <f>IFERROR(INDEX('macs_ips'!$G$2:$G$403,AGGREGATE(15,6,(ROW('macs_ips'!$A$2:$A$403)-ROW(INDEX('macs_ips'!$A$2:$A$403,1,1))+1)/('macs_ips'!$E$2:$E$403=$J$1),ROW(A210))),"")</f>
        <v/>
      </c>
    </row>
    <row r="213">
      <c r="A213" s="40">
        <f>IFERROR(INDEX('macs_ips'!$A$2:$A$403,AGGREGATE(15,6,(ROW('macs_ips'!$A$2:$A$403)-ROW(INDEX('macs_ips'!$A$2:$A$403,1,1))+1)/('macs_ips'!$E$2:$E$403=$J$1),ROW(A211))),"")</f>
        <v/>
      </c>
      <c r="B213" s="40">
        <f>IFERROR(INDEX('macs_ips'!$B$2:$B$403,AGGREGATE(15,6,(ROW('macs_ips'!$A$2:$A$403)-ROW(INDEX('macs_ips'!$A$2:$A$403,1,1))+1)/('macs_ips'!$E$2:$E$403=$J$1),ROW(A211))),"")</f>
        <v/>
      </c>
      <c r="C213" s="40">
        <f>IFERROR(INDEX('macs_ips'!$C$2:$C$403,AGGREGATE(15,6,(ROW('macs_ips'!$A$2:$A$403)-ROW(INDEX('macs_ips'!$A$2:$A$403,1,1))+1)/('macs_ips'!$E$2:$E$403=$J$1),ROW(A211))),"")</f>
        <v/>
      </c>
      <c r="D213" s="41">
        <f>IFERROR(INDEX('macs_ips'!$D$2:$D$403,AGGREGATE(15,6,(ROW('macs_ips'!$A$2:$A$403)-ROW(INDEX('macs_ips'!$A$2:$A$403,1,1))+1)/('macs_ips'!$E$2:$E$403=$J$1),ROW(A211))),"")</f>
        <v/>
      </c>
      <c r="E213" s="40">
        <f>IFERROR(INDEX('macs_ips'!$E$2:$E$403,AGGREGATE(15,6,(ROW('macs_ips'!$A$2:$A$403)-ROW(INDEX('macs_ips'!$A$2:$A$403,1,1))+1)/('macs_ips'!$E$2:$E$403=$J$1),ROW(A211))),"")</f>
        <v/>
      </c>
      <c r="F213" s="41">
        <f>IFERROR(INDEX('macs_ips'!$F$2:$F$403,AGGREGATE(15,6,(ROW('macs_ips'!$A$2:$A$403)-ROW(INDEX('macs_ips'!$A$2:$A$403,1,1))+1)/('macs_ips'!$E$2:$E$403=$J$1),ROW(A211))),"")</f>
        <v/>
      </c>
      <c r="G213" s="40">
        <f>IFERROR(INDEX('macs_ips'!$G$2:$G$403,AGGREGATE(15,6,(ROW('macs_ips'!$A$2:$A$403)-ROW(INDEX('macs_ips'!$A$2:$A$403,1,1))+1)/('macs_ips'!$E$2:$E$403=$J$1),ROW(A211))),"")</f>
        <v/>
      </c>
    </row>
    <row r="214">
      <c r="A214" s="40">
        <f>IFERROR(INDEX('macs_ips'!$A$2:$A$403,AGGREGATE(15,6,(ROW('macs_ips'!$A$2:$A$403)-ROW(INDEX('macs_ips'!$A$2:$A$403,1,1))+1)/('macs_ips'!$E$2:$E$403=$J$1),ROW(A212))),"")</f>
        <v/>
      </c>
      <c r="B214" s="40">
        <f>IFERROR(INDEX('macs_ips'!$B$2:$B$403,AGGREGATE(15,6,(ROW('macs_ips'!$A$2:$A$403)-ROW(INDEX('macs_ips'!$A$2:$A$403,1,1))+1)/('macs_ips'!$E$2:$E$403=$J$1),ROW(A212))),"")</f>
        <v/>
      </c>
      <c r="C214" s="40">
        <f>IFERROR(INDEX('macs_ips'!$C$2:$C$403,AGGREGATE(15,6,(ROW('macs_ips'!$A$2:$A$403)-ROW(INDEX('macs_ips'!$A$2:$A$403,1,1))+1)/('macs_ips'!$E$2:$E$403=$J$1),ROW(A212))),"")</f>
        <v/>
      </c>
      <c r="D214" s="41">
        <f>IFERROR(INDEX('macs_ips'!$D$2:$D$403,AGGREGATE(15,6,(ROW('macs_ips'!$A$2:$A$403)-ROW(INDEX('macs_ips'!$A$2:$A$403,1,1))+1)/('macs_ips'!$E$2:$E$403=$J$1),ROW(A212))),"")</f>
        <v/>
      </c>
      <c r="E214" s="40">
        <f>IFERROR(INDEX('macs_ips'!$E$2:$E$403,AGGREGATE(15,6,(ROW('macs_ips'!$A$2:$A$403)-ROW(INDEX('macs_ips'!$A$2:$A$403,1,1))+1)/('macs_ips'!$E$2:$E$403=$J$1),ROW(A212))),"")</f>
        <v/>
      </c>
      <c r="F214" s="41">
        <f>IFERROR(INDEX('macs_ips'!$F$2:$F$403,AGGREGATE(15,6,(ROW('macs_ips'!$A$2:$A$403)-ROW(INDEX('macs_ips'!$A$2:$A$403,1,1))+1)/('macs_ips'!$E$2:$E$403=$J$1),ROW(A212))),"")</f>
        <v/>
      </c>
      <c r="G214" s="40">
        <f>IFERROR(INDEX('macs_ips'!$G$2:$G$403,AGGREGATE(15,6,(ROW('macs_ips'!$A$2:$A$403)-ROW(INDEX('macs_ips'!$A$2:$A$403,1,1))+1)/('macs_ips'!$E$2:$E$403=$J$1),ROW(A212))),"")</f>
        <v/>
      </c>
    </row>
    <row r="215">
      <c r="A215" s="40">
        <f>IFERROR(INDEX('macs_ips'!$A$2:$A$403,AGGREGATE(15,6,(ROW('macs_ips'!$A$2:$A$403)-ROW(INDEX('macs_ips'!$A$2:$A$403,1,1))+1)/('macs_ips'!$E$2:$E$403=$J$1),ROW(A213))),"")</f>
        <v/>
      </c>
      <c r="B215" s="40">
        <f>IFERROR(INDEX('macs_ips'!$B$2:$B$403,AGGREGATE(15,6,(ROW('macs_ips'!$A$2:$A$403)-ROW(INDEX('macs_ips'!$A$2:$A$403,1,1))+1)/('macs_ips'!$E$2:$E$403=$J$1),ROW(A213))),"")</f>
        <v/>
      </c>
      <c r="C215" s="40">
        <f>IFERROR(INDEX('macs_ips'!$C$2:$C$403,AGGREGATE(15,6,(ROW('macs_ips'!$A$2:$A$403)-ROW(INDEX('macs_ips'!$A$2:$A$403,1,1))+1)/('macs_ips'!$E$2:$E$403=$J$1),ROW(A213))),"")</f>
        <v/>
      </c>
      <c r="D215" s="41">
        <f>IFERROR(INDEX('macs_ips'!$D$2:$D$403,AGGREGATE(15,6,(ROW('macs_ips'!$A$2:$A$403)-ROW(INDEX('macs_ips'!$A$2:$A$403,1,1))+1)/('macs_ips'!$E$2:$E$403=$J$1),ROW(A213))),"")</f>
        <v/>
      </c>
      <c r="E215" s="40">
        <f>IFERROR(INDEX('macs_ips'!$E$2:$E$403,AGGREGATE(15,6,(ROW('macs_ips'!$A$2:$A$403)-ROW(INDEX('macs_ips'!$A$2:$A$403,1,1))+1)/('macs_ips'!$E$2:$E$403=$J$1),ROW(A213))),"")</f>
        <v/>
      </c>
      <c r="F215" s="41">
        <f>IFERROR(INDEX('macs_ips'!$F$2:$F$403,AGGREGATE(15,6,(ROW('macs_ips'!$A$2:$A$403)-ROW(INDEX('macs_ips'!$A$2:$A$403,1,1))+1)/('macs_ips'!$E$2:$E$403=$J$1),ROW(A213))),"")</f>
        <v/>
      </c>
      <c r="G215" s="40">
        <f>IFERROR(INDEX('macs_ips'!$G$2:$G$403,AGGREGATE(15,6,(ROW('macs_ips'!$A$2:$A$403)-ROW(INDEX('macs_ips'!$A$2:$A$403,1,1))+1)/('macs_ips'!$E$2:$E$403=$J$1),ROW(A213))),"")</f>
        <v/>
      </c>
    </row>
    <row r="216">
      <c r="A216" s="40">
        <f>IFERROR(INDEX('macs_ips'!$A$2:$A$403,AGGREGATE(15,6,(ROW('macs_ips'!$A$2:$A$403)-ROW(INDEX('macs_ips'!$A$2:$A$403,1,1))+1)/('macs_ips'!$E$2:$E$403=$J$1),ROW(A214))),"")</f>
        <v/>
      </c>
      <c r="B216" s="40">
        <f>IFERROR(INDEX('macs_ips'!$B$2:$B$403,AGGREGATE(15,6,(ROW('macs_ips'!$A$2:$A$403)-ROW(INDEX('macs_ips'!$A$2:$A$403,1,1))+1)/('macs_ips'!$E$2:$E$403=$J$1),ROW(A214))),"")</f>
        <v/>
      </c>
      <c r="C216" s="40">
        <f>IFERROR(INDEX('macs_ips'!$C$2:$C$403,AGGREGATE(15,6,(ROW('macs_ips'!$A$2:$A$403)-ROW(INDEX('macs_ips'!$A$2:$A$403,1,1))+1)/('macs_ips'!$E$2:$E$403=$J$1),ROW(A214))),"")</f>
        <v/>
      </c>
      <c r="D216" s="41">
        <f>IFERROR(INDEX('macs_ips'!$D$2:$D$403,AGGREGATE(15,6,(ROW('macs_ips'!$A$2:$A$403)-ROW(INDEX('macs_ips'!$A$2:$A$403,1,1))+1)/('macs_ips'!$E$2:$E$403=$J$1),ROW(A214))),"")</f>
        <v/>
      </c>
      <c r="E216" s="40">
        <f>IFERROR(INDEX('macs_ips'!$E$2:$E$403,AGGREGATE(15,6,(ROW('macs_ips'!$A$2:$A$403)-ROW(INDEX('macs_ips'!$A$2:$A$403,1,1))+1)/('macs_ips'!$E$2:$E$403=$J$1),ROW(A214))),"")</f>
        <v/>
      </c>
      <c r="F216" s="41">
        <f>IFERROR(INDEX('macs_ips'!$F$2:$F$403,AGGREGATE(15,6,(ROW('macs_ips'!$A$2:$A$403)-ROW(INDEX('macs_ips'!$A$2:$A$403,1,1))+1)/('macs_ips'!$E$2:$E$403=$J$1),ROW(A214))),"")</f>
        <v/>
      </c>
      <c r="G216" s="40">
        <f>IFERROR(INDEX('macs_ips'!$G$2:$G$403,AGGREGATE(15,6,(ROW('macs_ips'!$A$2:$A$403)-ROW(INDEX('macs_ips'!$A$2:$A$403,1,1))+1)/('macs_ips'!$E$2:$E$403=$J$1),ROW(A214))),"")</f>
        <v/>
      </c>
    </row>
    <row r="217">
      <c r="A217" s="40">
        <f>IFERROR(INDEX('macs_ips'!$A$2:$A$403,AGGREGATE(15,6,(ROW('macs_ips'!$A$2:$A$403)-ROW(INDEX('macs_ips'!$A$2:$A$403,1,1))+1)/('macs_ips'!$E$2:$E$403=$J$1),ROW(A215))),"")</f>
        <v/>
      </c>
      <c r="B217" s="40">
        <f>IFERROR(INDEX('macs_ips'!$B$2:$B$403,AGGREGATE(15,6,(ROW('macs_ips'!$A$2:$A$403)-ROW(INDEX('macs_ips'!$A$2:$A$403,1,1))+1)/('macs_ips'!$E$2:$E$403=$J$1),ROW(A215))),"")</f>
        <v/>
      </c>
      <c r="C217" s="40">
        <f>IFERROR(INDEX('macs_ips'!$C$2:$C$403,AGGREGATE(15,6,(ROW('macs_ips'!$A$2:$A$403)-ROW(INDEX('macs_ips'!$A$2:$A$403,1,1))+1)/('macs_ips'!$E$2:$E$403=$J$1),ROW(A215))),"")</f>
        <v/>
      </c>
      <c r="D217" s="41">
        <f>IFERROR(INDEX('macs_ips'!$D$2:$D$403,AGGREGATE(15,6,(ROW('macs_ips'!$A$2:$A$403)-ROW(INDEX('macs_ips'!$A$2:$A$403,1,1))+1)/('macs_ips'!$E$2:$E$403=$J$1),ROW(A215))),"")</f>
        <v/>
      </c>
      <c r="E217" s="40">
        <f>IFERROR(INDEX('macs_ips'!$E$2:$E$403,AGGREGATE(15,6,(ROW('macs_ips'!$A$2:$A$403)-ROW(INDEX('macs_ips'!$A$2:$A$403,1,1))+1)/('macs_ips'!$E$2:$E$403=$J$1),ROW(A215))),"")</f>
        <v/>
      </c>
      <c r="F217" s="41">
        <f>IFERROR(INDEX('macs_ips'!$F$2:$F$403,AGGREGATE(15,6,(ROW('macs_ips'!$A$2:$A$403)-ROW(INDEX('macs_ips'!$A$2:$A$403,1,1))+1)/('macs_ips'!$E$2:$E$403=$J$1),ROW(A215))),"")</f>
        <v/>
      </c>
      <c r="G217" s="40">
        <f>IFERROR(INDEX('macs_ips'!$G$2:$G$403,AGGREGATE(15,6,(ROW('macs_ips'!$A$2:$A$403)-ROW(INDEX('macs_ips'!$A$2:$A$403,1,1))+1)/('macs_ips'!$E$2:$E$403=$J$1),ROW(A215))),"")</f>
        <v/>
      </c>
    </row>
    <row r="218">
      <c r="A218" s="40">
        <f>IFERROR(INDEX('macs_ips'!$A$2:$A$403,AGGREGATE(15,6,(ROW('macs_ips'!$A$2:$A$403)-ROW(INDEX('macs_ips'!$A$2:$A$403,1,1))+1)/('macs_ips'!$E$2:$E$403=$J$1),ROW(A216))),"")</f>
        <v/>
      </c>
      <c r="B218" s="40">
        <f>IFERROR(INDEX('macs_ips'!$B$2:$B$403,AGGREGATE(15,6,(ROW('macs_ips'!$A$2:$A$403)-ROW(INDEX('macs_ips'!$A$2:$A$403,1,1))+1)/('macs_ips'!$E$2:$E$403=$J$1),ROW(A216))),"")</f>
        <v/>
      </c>
      <c r="C218" s="40">
        <f>IFERROR(INDEX('macs_ips'!$C$2:$C$403,AGGREGATE(15,6,(ROW('macs_ips'!$A$2:$A$403)-ROW(INDEX('macs_ips'!$A$2:$A$403,1,1))+1)/('macs_ips'!$E$2:$E$403=$J$1),ROW(A216))),"")</f>
        <v/>
      </c>
      <c r="D218" s="41">
        <f>IFERROR(INDEX('macs_ips'!$D$2:$D$403,AGGREGATE(15,6,(ROW('macs_ips'!$A$2:$A$403)-ROW(INDEX('macs_ips'!$A$2:$A$403,1,1))+1)/('macs_ips'!$E$2:$E$403=$J$1),ROW(A216))),"")</f>
        <v/>
      </c>
      <c r="E218" s="40">
        <f>IFERROR(INDEX('macs_ips'!$E$2:$E$403,AGGREGATE(15,6,(ROW('macs_ips'!$A$2:$A$403)-ROW(INDEX('macs_ips'!$A$2:$A$403,1,1))+1)/('macs_ips'!$E$2:$E$403=$J$1),ROW(A216))),"")</f>
        <v/>
      </c>
      <c r="F218" s="41">
        <f>IFERROR(INDEX('macs_ips'!$F$2:$F$403,AGGREGATE(15,6,(ROW('macs_ips'!$A$2:$A$403)-ROW(INDEX('macs_ips'!$A$2:$A$403,1,1))+1)/('macs_ips'!$E$2:$E$403=$J$1),ROW(A216))),"")</f>
        <v/>
      </c>
      <c r="G218" s="40">
        <f>IFERROR(INDEX('macs_ips'!$G$2:$G$403,AGGREGATE(15,6,(ROW('macs_ips'!$A$2:$A$403)-ROW(INDEX('macs_ips'!$A$2:$A$403,1,1))+1)/('macs_ips'!$E$2:$E$403=$J$1),ROW(A216))),"")</f>
        <v/>
      </c>
    </row>
    <row r="219">
      <c r="A219" s="40">
        <f>IFERROR(INDEX('macs_ips'!$A$2:$A$403,AGGREGATE(15,6,(ROW('macs_ips'!$A$2:$A$403)-ROW(INDEX('macs_ips'!$A$2:$A$403,1,1))+1)/('macs_ips'!$E$2:$E$403=$J$1),ROW(A217))),"")</f>
        <v/>
      </c>
      <c r="B219" s="40">
        <f>IFERROR(INDEX('macs_ips'!$B$2:$B$403,AGGREGATE(15,6,(ROW('macs_ips'!$A$2:$A$403)-ROW(INDEX('macs_ips'!$A$2:$A$403,1,1))+1)/('macs_ips'!$E$2:$E$403=$J$1),ROW(A217))),"")</f>
        <v/>
      </c>
      <c r="C219" s="40">
        <f>IFERROR(INDEX('macs_ips'!$C$2:$C$403,AGGREGATE(15,6,(ROW('macs_ips'!$A$2:$A$403)-ROW(INDEX('macs_ips'!$A$2:$A$403,1,1))+1)/('macs_ips'!$E$2:$E$403=$J$1),ROW(A217))),"")</f>
        <v/>
      </c>
      <c r="D219" s="41">
        <f>IFERROR(INDEX('macs_ips'!$D$2:$D$403,AGGREGATE(15,6,(ROW('macs_ips'!$A$2:$A$403)-ROW(INDEX('macs_ips'!$A$2:$A$403,1,1))+1)/('macs_ips'!$E$2:$E$403=$J$1),ROW(A217))),"")</f>
        <v/>
      </c>
      <c r="E219" s="40">
        <f>IFERROR(INDEX('macs_ips'!$E$2:$E$403,AGGREGATE(15,6,(ROW('macs_ips'!$A$2:$A$403)-ROW(INDEX('macs_ips'!$A$2:$A$403,1,1))+1)/('macs_ips'!$E$2:$E$403=$J$1),ROW(A217))),"")</f>
        <v/>
      </c>
      <c r="F219" s="41">
        <f>IFERROR(INDEX('macs_ips'!$F$2:$F$403,AGGREGATE(15,6,(ROW('macs_ips'!$A$2:$A$403)-ROW(INDEX('macs_ips'!$A$2:$A$403,1,1))+1)/('macs_ips'!$E$2:$E$403=$J$1),ROW(A217))),"")</f>
        <v/>
      </c>
      <c r="G219" s="40">
        <f>IFERROR(INDEX('macs_ips'!$G$2:$G$403,AGGREGATE(15,6,(ROW('macs_ips'!$A$2:$A$403)-ROW(INDEX('macs_ips'!$A$2:$A$403,1,1))+1)/('macs_ips'!$E$2:$E$403=$J$1),ROW(A217))),"")</f>
        <v/>
      </c>
    </row>
    <row r="220">
      <c r="A220" s="40">
        <f>IFERROR(INDEX('macs_ips'!$A$2:$A$403,AGGREGATE(15,6,(ROW('macs_ips'!$A$2:$A$403)-ROW(INDEX('macs_ips'!$A$2:$A$403,1,1))+1)/('macs_ips'!$E$2:$E$403=$J$1),ROW(A218))),"")</f>
        <v/>
      </c>
      <c r="B220" s="40">
        <f>IFERROR(INDEX('macs_ips'!$B$2:$B$403,AGGREGATE(15,6,(ROW('macs_ips'!$A$2:$A$403)-ROW(INDEX('macs_ips'!$A$2:$A$403,1,1))+1)/('macs_ips'!$E$2:$E$403=$J$1),ROW(A218))),"")</f>
        <v/>
      </c>
      <c r="C220" s="40">
        <f>IFERROR(INDEX('macs_ips'!$C$2:$C$403,AGGREGATE(15,6,(ROW('macs_ips'!$A$2:$A$403)-ROW(INDEX('macs_ips'!$A$2:$A$403,1,1))+1)/('macs_ips'!$E$2:$E$403=$J$1),ROW(A218))),"")</f>
        <v/>
      </c>
      <c r="D220" s="41">
        <f>IFERROR(INDEX('macs_ips'!$D$2:$D$403,AGGREGATE(15,6,(ROW('macs_ips'!$A$2:$A$403)-ROW(INDEX('macs_ips'!$A$2:$A$403,1,1))+1)/('macs_ips'!$E$2:$E$403=$J$1),ROW(A218))),"")</f>
        <v/>
      </c>
      <c r="E220" s="40">
        <f>IFERROR(INDEX('macs_ips'!$E$2:$E$403,AGGREGATE(15,6,(ROW('macs_ips'!$A$2:$A$403)-ROW(INDEX('macs_ips'!$A$2:$A$403,1,1))+1)/('macs_ips'!$E$2:$E$403=$J$1),ROW(A218))),"")</f>
        <v/>
      </c>
      <c r="F220" s="41">
        <f>IFERROR(INDEX('macs_ips'!$F$2:$F$403,AGGREGATE(15,6,(ROW('macs_ips'!$A$2:$A$403)-ROW(INDEX('macs_ips'!$A$2:$A$403,1,1))+1)/('macs_ips'!$E$2:$E$403=$J$1),ROW(A218))),"")</f>
        <v/>
      </c>
      <c r="G220" s="40">
        <f>IFERROR(INDEX('macs_ips'!$G$2:$G$403,AGGREGATE(15,6,(ROW('macs_ips'!$A$2:$A$403)-ROW(INDEX('macs_ips'!$A$2:$A$403,1,1))+1)/('macs_ips'!$E$2:$E$403=$J$1),ROW(A218))),"")</f>
        <v/>
      </c>
    </row>
    <row r="221">
      <c r="A221" s="40">
        <f>IFERROR(INDEX('macs_ips'!$A$2:$A$403,AGGREGATE(15,6,(ROW('macs_ips'!$A$2:$A$403)-ROW(INDEX('macs_ips'!$A$2:$A$403,1,1))+1)/('macs_ips'!$E$2:$E$403=$J$1),ROW(A219))),"")</f>
        <v/>
      </c>
      <c r="B221" s="40">
        <f>IFERROR(INDEX('macs_ips'!$B$2:$B$403,AGGREGATE(15,6,(ROW('macs_ips'!$A$2:$A$403)-ROW(INDEX('macs_ips'!$A$2:$A$403,1,1))+1)/('macs_ips'!$E$2:$E$403=$J$1),ROW(A219))),"")</f>
        <v/>
      </c>
      <c r="C221" s="40">
        <f>IFERROR(INDEX('macs_ips'!$C$2:$C$403,AGGREGATE(15,6,(ROW('macs_ips'!$A$2:$A$403)-ROW(INDEX('macs_ips'!$A$2:$A$403,1,1))+1)/('macs_ips'!$E$2:$E$403=$J$1),ROW(A219))),"")</f>
        <v/>
      </c>
      <c r="D221" s="41">
        <f>IFERROR(INDEX('macs_ips'!$D$2:$D$403,AGGREGATE(15,6,(ROW('macs_ips'!$A$2:$A$403)-ROW(INDEX('macs_ips'!$A$2:$A$403,1,1))+1)/('macs_ips'!$E$2:$E$403=$J$1),ROW(A219))),"")</f>
        <v/>
      </c>
      <c r="E221" s="40">
        <f>IFERROR(INDEX('macs_ips'!$E$2:$E$403,AGGREGATE(15,6,(ROW('macs_ips'!$A$2:$A$403)-ROW(INDEX('macs_ips'!$A$2:$A$403,1,1))+1)/('macs_ips'!$E$2:$E$403=$J$1),ROW(A219))),"")</f>
        <v/>
      </c>
      <c r="F221" s="41">
        <f>IFERROR(INDEX('macs_ips'!$F$2:$F$403,AGGREGATE(15,6,(ROW('macs_ips'!$A$2:$A$403)-ROW(INDEX('macs_ips'!$A$2:$A$403,1,1))+1)/('macs_ips'!$E$2:$E$403=$J$1),ROW(A219))),"")</f>
        <v/>
      </c>
      <c r="G221" s="40">
        <f>IFERROR(INDEX('macs_ips'!$G$2:$G$403,AGGREGATE(15,6,(ROW('macs_ips'!$A$2:$A$403)-ROW(INDEX('macs_ips'!$A$2:$A$403,1,1))+1)/('macs_ips'!$E$2:$E$403=$J$1),ROW(A219))),"")</f>
        <v/>
      </c>
    </row>
    <row r="222">
      <c r="A222" s="40">
        <f>IFERROR(INDEX('macs_ips'!$A$2:$A$403,AGGREGATE(15,6,(ROW('macs_ips'!$A$2:$A$403)-ROW(INDEX('macs_ips'!$A$2:$A$403,1,1))+1)/('macs_ips'!$E$2:$E$403=$J$1),ROW(A220))),"")</f>
        <v/>
      </c>
      <c r="B222" s="40">
        <f>IFERROR(INDEX('macs_ips'!$B$2:$B$403,AGGREGATE(15,6,(ROW('macs_ips'!$A$2:$A$403)-ROW(INDEX('macs_ips'!$A$2:$A$403,1,1))+1)/('macs_ips'!$E$2:$E$403=$J$1),ROW(A220))),"")</f>
        <v/>
      </c>
      <c r="C222" s="40">
        <f>IFERROR(INDEX('macs_ips'!$C$2:$C$403,AGGREGATE(15,6,(ROW('macs_ips'!$A$2:$A$403)-ROW(INDEX('macs_ips'!$A$2:$A$403,1,1))+1)/('macs_ips'!$E$2:$E$403=$J$1),ROW(A220))),"")</f>
        <v/>
      </c>
      <c r="D222" s="41">
        <f>IFERROR(INDEX('macs_ips'!$D$2:$D$403,AGGREGATE(15,6,(ROW('macs_ips'!$A$2:$A$403)-ROW(INDEX('macs_ips'!$A$2:$A$403,1,1))+1)/('macs_ips'!$E$2:$E$403=$J$1),ROW(A220))),"")</f>
        <v/>
      </c>
      <c r="E222" s="40">
        <f>IFERROR(INDEX('macs_ips'!$E$2:$E$403,AGGREGATE(15,6,(ROW('macs_ips'!$A$2:$A$403)-ROW(INDEX('macs_ips'!$A$2:$A$403,1,1))+1)/('macs_ips'!$E$2:$E$403=$J$1),ROW(A220))),"")</f>
        <v/>
      </c>
      <c r="F222" s="41">
        <f>IFERROR(INDEX('macs_ips'!$F$2:$F$403,AGGREGATE(15,6,(ROW('macs_ips'!$A$2:$A$403)-ROW(INDEX('macs_ips'!$A$2:$A$403,1,1))+1)/('macs_ips'!$E$2:$E$403=$J$1),ROW(A220))),"")</f>
        <v/>
      </c>
      <c r="G222" s="40">
        <f>IFERROR(INDEX('macs_ips'!$G$2:$G$403,AGGREGATE(15,6,(ROW('macs_ips'!$A$2:$A$403)-ROW(INDEX('macs_ips'!$A$2:$A$403,1,1))+1)/('macs_ips'!$E$2:$E$403=$J$1),ROW(A220))),"")</f>
        <v/>
      </c>
    </row>
    <row r="223">
      <c r="A223" s="40">
        <f>IFERROR(INDEX('macs_ips'!$A$2:$A$403,AGGREGATE(15,6,(ROW('macs_ips'!$A$2:$A$403)-ROW(INDEX('macs_ips'!$A$2:$A$403,1,1))+1)/('macs_ips'!$E$2:$E$403=$J$1),ROW(A221))),"")</f>
        <v/>
      </c>
      <c r="B223" s="40">
        <f>IFERROR(INDEX('macs_ips'!$B$2:$B$403,AGGREGATE(15,6,(ROW('macs_ips'!$A$2:$A$403)-ROW(INDEX('macs_ips'!$A$2:$A$403,1,1))+1)/('macs_ips'!$E$2:$E$403=$J$1),ROW(A221))),"")</f>
        <v/>
      </c>
      <c r="C223" s="40">
        <f>IFERROR(INDEX('macs_ips'!$C$2:$C$403,AGGREGATE(15,6,(ROW('macs_ips'!$A$2:$A$403)-ROW(INDEX('macs_ips'!$A$2:$A$403,1,1))+1)/('macs_ips'!$E$2:$E$403=$J$1),ROW(A221))),"")</f>
        <v/>
      </c>
      <c r="D223" s="41">
        <f>IFERROR(INDEX('macs_ips'!$D$2:$D$403,AGGREGATE(15,6,(ROW('macs_ips'!$A$2:$A$403)-ROW(INDEX('macs_ips'!$A$2:$A$403,1,1))+1)/('macs_ips'!$E$2:$E$403=$J$1),ROW(A221))),"")</f>
        <v/>
      </c>
      <c r="E223" s="40">
        <f>IFERROR(INDEX('macs_ips'!$E$2:$E$403,AGGREGATE(15,6,(ROW('macs_ips'!$A$2:$A$403)-ROW(INDEX('macs_ips'!$A$2:$A$403,1,1))+1)/('macs_ips'!$E$2:$E$403=$J$1),ROW(A221))),"")</f>
        <v/>
      </c>
      <c r="F223" s="41">
        <f>IFERROR(INDEX('macs_ips'!$F$2:$F$403,AGGREGATE(15,6,(ROW('macs_ips'!$A$2:$A$403)-ROW(INDEX('macs_ips'!$A$2:$A$403,1,1))+1)/('macs_ips'!$E$2:$E$403=$J$1),ROW(A221))),"")</f>
        <v/>
      </c>
      <c r="G223" s="40">
        <f>IFERROR(INDEX('macs_ips'!$G$2:$G$403,AGGREGATE(15,6,(ROW('macs_ips'!$A$2:$A$403)-ROW(INDEX('macs_ips'!$A$2:$A$403,1,1))+1)/('macs_ips'!$E$2:$E$403=$J$1),ROW(A221))),"")</f>
        <v/>
      </c>
    </row>
    <row r="224">
      <c r="A224" s="40">
        <f>IFERROR(INDEX('macs_ips'!$A$2:$A$403,AGGREGATE(15,6,(ROW('macs_ips'!$A$2:$A$403)-ROW(INDEX('macs_ips'!$A$2:$A$403,1,1))+1)/('macs_ips'!$E$2:$E$403=$J$1),ROW(A222))),"")</f>
        <v/>
      </c>
      <c r="B224" s="40">
        <f>IFERROR(INDEX('macs_ips'!$B$2:$B$403,AGGREGATE(15,6,(ROW('macs_ips'!$A$2:$A$403)-ROW(INDEX('macs_ips'!$A$2:$A$403,1,1))+1)/('macs_ips'!$E$2:$E$403=$J$1),ROW(A222))),"")</f>
        <v/>
      </c>
      <c r="C224" s="40">
        <f>IFERROR(INDEX('macs_ips'!$C$2:$C$403,AGGREGATE(15,6,(ROW('macs_ips'!$A$2:$A$403)-ROW(INDEX('macs_ips'!$A$2:$A$403,1,1))+1)/('macs_ips'!$E$2:$E$403=$J$1),ROW(A222))),"")</f>
        <v/>
      </c>
      <c r="D224" s="41">
        <f>IFERROR(INDEX('macs_ips'!$D$2:$D$403,AGGREGATE(15,6,(ROW('macs_ips'!$A$2:$A$403)-ROW(INDEX('macs_ips'!$A$2:$A$403,1,1))+1)/('macs_ips'!$E$2:$E$403=$J$1),ROW(A222))),"")</f>
        <v/>
      </c>
      <c r="E224" s="40">
        <f>IFERROR(INDEX('macs_ips'!$E$2:$E$403,AGGREGATE(15,6,(ROW('macs_ips'!$A$2:$A$403)-ROW(INDEX('macs_ips'!$A$2:$A$403,1,1))+1)/('macs_ips'!$E$2:$E$403=$J$1),ROW(A222))),"")</f>
        <v/>
      </c>
      <c r="F224" s="41">
        <f>IFERROR(INDEX('macs_ips'!$F$2:$F$403,AGGREGATE(15,6,(ROW('macs_ips'!$A$2:$A$403)-ROW(INDEX('macs_ips'!$A$2:$A$403,1,1))+1)/('macs_ips'!$E$2:$E$403=$J$1),ROW(A222))),"")</f>
        <v/>
      </c>
      <c r="G224" s="40">
        <f>IFERROR(INDEX('macs_ips'!$G$2:$G$403,AGGREGATE(15,6,(ROW('macs_ips'!$A$2:$A$403)-ROW(INDEX('macs_ips'!$A$2:$A$403,1,1))+1)/('macs_ips'!$E$2:$E$403=$J$1),ROW(A222))),"")</f>
        <v/>
      </c>
    </row>
    <row r="225">
      <c r="A225" s="40">
        <f>IFERROR(INDEX('macs_ips'!$A$2:$A$403,AGGREGATE(15,6,(ROW('macs_ips'!$A$2:$A$403)-ROW(INDEX('macs_ips'!$A$2:$A$403,1,1))+1)/('macs_ips'!$E$2:$E$403=$J$1),ROW(A223))),"")</f>
        <v/>
      </c>
      <c r="B225" s="40">
        <f>IFERROR(INDEX('macs_ips'!$B$2:$B$403,AGGREGATE(15,6,(ROW('macs_ips'!$A$2:$A$403)-ROW(INDEX('macs_ips'!$A$2:$A$403,1,1))+1)/('macs_ips'!$E$2:$E$403=$J$1),ROW(A223))),"")</f>
        <v/>
      </c>
      <c r="C225" s="40">
        <f>IFERROR(INDEX('macs_ips'!$C$2:$C$403,AGGREGATE(15,6,(ROW('macs_ips'!$A$2:$A$403)-ROW(INDEX('macs_ips'!$A$2:$A$403,1,1))+1)/('macs_ips'!$E$2:$E$403=$J$1),ROW(A223))),"")</f>
        <v/>
      </c>
      <c r="D225" s="41">
        <f>IFERROR(INDEX('macs_ips'!$D$2:$D$403,AGGREGATE(15,6,(ROW('macs_ips'!$A$2:$A$403)-ROW(INDEX('macs_ips'!$A$2:$A$403,1,1))+1)/('macs_ips'!$E$2:$E$403=$J$1),ROW(A223))),"")</f>
        <v/>
      </c>
      <c r="E225" s="40">
        <f>IFERROR(INDEX('macs_ips'!$E$2:$E$403,AGGREGATE(15,6,(ROW('macs_ips'!$A$2:$A$403)-ROW(INDEX('macs_ips'!$A$2:$A$403,1,1))+1)/('macs_ips'!$E$2:$E$403=$J$1),ROW(A223))),"")</f>
        <v/>
      </c>
      <c r="F225" s="41">
        <f>IFERROR(INDEX('macs_ips'!$F$2:$F$403,AGGREGATE(15,6,(ROW('macs_ips'!$A$2:$A$403)-ROW(INDEX('macs_ips'!$A$2:$A$403,1,1))+1)/('macs_ips'!$E$2:$E$403=$J$1),ROW(A223))),"")</f>
        <v/>
      </c>
      <c r="G225" s="40">
        <f>IFERROR(INDEX('macs_ips'!$G$2:$G$403,AGGREGATE(15,6,(ROW('macs_ips'!$A$2:$A$403)-ROW(INDEX('macs_ips'!$A$2:$A$403,1,1))+1)/('macs_ips'!$E$2:$E$403=$J$1),ROW(A223))),"")</f>
        <v/>
      </c>
    </row>
    <row r="226">
      <c r="A226" s="40">
        <f>IFERROR(INDEX('macs_ips'!$A$2:$A$403,AGGREGATE(15,6,(ROW('macs_ips'!$A$2:$A$403)-ROW(INDEX('macs_ips'!$A$2:$A$403,1,1))+1)/('macs_ips'!$E$2:$E$403=$J$1),ROW(A224))),"")</f>
        <v/>
      </c>
      <c r="B226" s="40">
        <f>IFERROR(INDEX('macs_ips'!$B$2:$B$403,AGGREGATE(15,6,(ROW('macs_ips'!$A$2:$A$403)-ROW(INDEX('macs_ips'!$A$2:$A$403,1,1))+1)/('macs_ips'!$E$2:$E$403=$J$1),ROW(A224))),"")</f>
        <v/>
      </c>
      <c r="C226" s="40">
        <f>IFERROR(INDEX('macs_ips'!$C$2:$C$403,AGGREGATE(15,6,(ROW('macs_ips'!$A$2:$A$403)-ROW(INDEX('macs_ips'!$A$2:$A$403,1,1))+1)/('macs_ips'!$E$2:$E$403=$J$1),ROW(A224))),"")</f>
        <v/>
      </c>
      <c r="D226" s="41">
        <f>IFERROR(INDEX('macs_ips'!$D$2:$D$403,AGGREGATE(15,6,(ROW('macs_ips'!$A$2:$A$403)-ROW(INDEX('macs_ips'!$A$2:$A$403,1,1))+1)/('macs_ips'!$E$2:$E$403=$J$1),ROW(A224))),"")</f>
        <v/>
      </c>
      <c r="E226" s="40">
        <f>IFERROR(INDEX('macs_ips'!$E$2:$E$403,AGGREGATE(15,6,(ROW('macs_ips'!$A$2:$A$403)-ROW(INDEX('macs_ips'!$A$2:$A$403,1,1))+1)/('macs_ips'!$E$2:$E$403=$J$1),ROW(A224))),"")</f>
        <v/>
      </c>
      <c r="F226" s="41">
        <f>IFERROR(INDEX('macs_ips'!$F$2:$F$403,AGGREGATE(15,6,(ROW('macs_ips'!$A$2:$A$403)-ROW(INDEX('macs_ips'!$A$2:$A$403,1,1))+1)/('macs_ips'!$E$2:$E$403=$J$1),ROW(A224))),"")</f>
        <v/>
      </c>
      <c r="G226" s="40">
        <f>IFERROR(INDEX('macs_ips'!$G$2:$G$403,AGGREGATE(15,6,(ROW('macs_ips'!$A$2:$A$403)-ROW(INDEX('macs_ips'!$A$2:$A$403,1,1))+1)/('macs_ips'!$E$2:$E$403=$J$1),ROW(A224))),"")</f>
        <v/>
      </c>
    </row>
    <row r="227">
      <c r="A227" s="40">
        <f>IFERROR(INDEX('macs_ips'!$A$2:$A$403,AGGREGATE(15,6,(ROW('macs_ips'!$A$2:$A$403)-ROW(INDEX('macs_ips'!$A$2:$A$403,1,1))+1)/('macs_ips'!$E$2:$E$403=$J$1),ROW(A225))),"")</f>
        <v/>
      </c>
      <c r="B227" s="40">
        <f>IFERROR(INDEX('macs_ips'!$B$2:$B$403,AGGREGATE(15,6,(ROW('macs_ips'!$A$2:$A$403)-ROW(INDEX('macs_ips'!$A$2:$A$403,1,1))+1)/('macs_ips'!$E$2:$E$403=$J$1),ROW(A225))),"")</f>
        <v/>
      </c>
      <c r="C227" s="40">
        <f>IFERROR(INDEX('macs_ips'!$C$2:$C$403,AGGREGATE(15,6,(ROW('macs_ips'!$A$2:$A$403)-ROW(INDEX('macs_ips'!$A$2:$A$403,1,1))+1)/('macs_ips'!$E$2:$E$403=$J$1),ROW(A225))),"")</f>
        <v/>
      </c>
      <c r="D227" s="41">
        <f>IFERROR(INDEX('macs_ips'!$D$2:$D$403,AGGREGATE(15,6,(ROW('macs_ips'!$A$2:$A$403)-ROW(INDEX('macs_ips'!$A$2:$A$403,1,1))+1)/('macs_ips'!$E$2:$E$403=$J$1),ROW(A225))),"")</f>
        <v/>
      </c>
      <c r="E227" s="40">
        <f>IFERROR(INDEX('macs_ips'!$E$2:$E$403,AGGREGATE(15,6,(ROW('macs_ips'!$A$2:$A$403)-ROW(INDEX('macs_ips'!$A$2:$A$403,1,1))+1)/('macs_ips'!$E$2:$E$403=$J$1),ROW(A225))),"")</f>
        <v/>
      </c>
      <c r="F227" s="41">
        <f>IFERROR(INDEX('macs_ips'!$F$2:$F$403,AGGREGATE(15,6,(ROW('macs_ips'!$A$2:$A$403)-ROW(INDEX('macs_ips'!$A$2:$A$403,1,1))+1)/('macs_ips'!$E$2:$E$403=$J$1),ROW(A225))),"")</f>
        <v/>
      </c>
      <c r="G227" s="40">
        <f>IFERROR(INDEX('macs_ips'!$G$2:$G$403,AGGREGATE(15,6,(ROW('macs_ips'!$A$2:$A$403)-ROW(INDEX('macs_ips'!$A$2:$A$403,1,1))+1)/('macs_ips'!$E$2:$E$403=$J$1),ROW(A225))),"")</f>
        <v/>
      </c>
    </row>
    <row r="228">
      <c r="A228" s="40">
        <f>IFERROR(INDEX('macs_ips'!$A$2:$A$403,AGGREGATE(15,6,(ROW('macs_ips'!$A$2:$A$403)-ROW(INDEX('macs_ips'!$A$2:$A$403,1,1))+1)/('macs_ips'!$E$2:$E$403=$J$1),ROW(A226))),"")</f>
        <v/>
      </c>
      <c r="B228" s="40">
        <f>IFERROR(INDEX('macs_ips'!$B$2:$B$403,AGGREGATE(15,6,(ROW('macs_ips'!$A$2:$A$403)-ROW(INDEX('macs_ips'!$A$2:$A$403,1,1))+1)/('macs_ips'!$E$2:$E$403=$J$1),ROW(A226))),"")</f>
        <v/>
      </c>
      <c r="C228" s="40">
        <f>IFERROR(INDEX('macs_ips'!$C$2:$C$403,AGGREGATE(15,6,(ROW('macs_ips'!$A$2:$A$403)-ROW(INDEX('macs_ips'!$A$2:$A$403,1,1))+1)/('macs_ips'!$E$2:$E$403=$J$1),ROW(A226))),"")</f>
        <v/>
      </c>
      <c r="D228" s="41">
        <f>IFERROR(INDEX('macs_ips'!$D$2:$D$403,AGGREGATE(15,6,(ROW('macs_ips'!$A$2:$A$403)-ROW(INDEX('macs_ips'!$A$2:$A$403,1,1))+1)/('macs_ips'!$E$2:$E$403=$J$1),ROW(A226))),"")</f>
        <v/>
      </c>
      <c r="E228" s="40">
        <f>IFERROR(INDEX('macs_ips'!$E$2:$E$403,AGGREGATE(15,6,(ROW('macs_ips'!$A$2:$A$403)-ROW(INDEX('macs_ips'!$A$2:$A$403,1,1))+1)/('macs_ips'!$E$2:$E$403=$J$1),ROW(A226))),"")</f>
        <v/>
      </c>
      <c r="F228" s="41">
        <f>IFERROR(INDEX('macs_ips'!$F$2:$F$403,AGGREGATE(15,6,(ROW('macs_ips'!$A$2:$A$403)-ROW(INDEX('macs_ips'!$A$2:$A$403,1,1))+1)/('macs_ips'!$E$2:$E$403=$J$1),ROW(A226))),"")</f>
        <v/>
      </c>
      <c r="G228" s="40">
        <f>IFERROR(INDEX('macs_ips'!$G$2:$G$403,AGGREGATE(15,6,(ROW('macs_ips'!$A$2:$A$403)-ROW(INDEX('macs_ips'!$A$2:$A$403,1,1))+1)/('macs_ips'!$E$2:$E$403=$J$1),ROW(A226))),"")</f>
        <v/>
      </c>
    </row>
    <row r="229">
      <c r="A229" s="40">
        <f>IFERROR(INDEX('macs_ips'!$A$2:$A$403,AGGREGATE(15,6,(ROW('macs_ips'!$A$2:$A$403)-ROW(INDEX('macs_ips'!$A$2:$A$403,1,1))+1)/('macs_ips'!$E$2:$E$403=$J$1),ROW(A227))),"")</f>
        <v/>
      </c>
      <c r="B229" s="40">
        <f>IFERROR(INDEX('macs_ips'!$B$2:$B$403,AGGREGATE(15,6,(ROW('macs_ips'!$A$2:$A$403)-ROW(INDEX('macs_ips'!$A$2:$A$403,1,1))+1)/('macs_ips'!$E$2:$E$403=$J$1),ROW(A227))),"")</f>
        <v/>
      </c>
      <c r="C229" s="40">
        <f>IFERROR(INDEX('macs_ips'!$C$2:$C$403,AGGREGATE(15,6,(ROW('macs_ips'!$A$2:$A$403)-ROW(INDEX('macs_ips'!$A$2:$A$403,1,1))+1)/('macs_ips'!$E$2:$E$403=$J$1),ROW(A227))),"")</f>
        <v/>
      </c>
      <c r="D229" s="41">
        <f>IFERROR(INDEX('macs_ips'!$D$2:$D$403,AGGREGATE(15,6,(ROW('macs_ips'!$A$2:$A$403)-ROW(INDEX('macs_ips'!$A$2:$A$403,1,1))+1)/('macs_ips'!$E$2:$E$403=$J$1),ROW(A227))),"")</f>
        <v/>
      </c>
      <c r="E229" s="40">
        <f>IFERROR(INDEX('macs_ips'!$E$2:$E$403,AGGREGATE(15,6,(ROW('macs_ips'!$A$2:$A$403)-ROW(INDEX('macs_ips'!$A$2:$A$403,1,1))+1)/('macs_ips'!$E$2:$E$403=$J$1),ROW(A227))),"")</f>
        <v/>
      </c>
      <c r="F229" s="41">
        <f>IFERROR(INDEX('macs_ips'!$F$2:$F$403,AGGREGATE(15,6,(ROW('macs_ips'!$A$2:$A$403)-ROW(INDEX('macs_ips'!$A$2:$A$403,1,1))+1)/('macs_ips'!$E$2:$E$403=$J$1),ROW(A227))),"")</f>
        <v/>
      </c>
      <c r="G229" s="40">
        <f>IFERROR(INDEX('macs_ips'!$G$2:$G$403,AGGREGATE(15,6,(ROW('macs_ips'!$A$2:$A$403)-ROW(INDEX('macs_ips'!$A$2:$A$403,1,1))+1)/('macs_ips'!$E$2:$E$403=$J$1),ROW(A227))),"")</f>
        <v/>
      </c>
    </row>
    <row r="230">
      <c r="A230" s="40">
        <f>IFERROR(INDEX('macs_ips'!$A$2:$A$403,AGGREGATE(15,6,(ROW('macs_ips'!$A$2:$A$403)-ROW(INDEX('macs_ips'!$A$2:$A$403,1,1))+1)/('macs_ips'!$E$2:$E$403=$J$1),ROW(A228))),"")</f>
        <v/>
      </c>
      <c r="B230" s="40">
        <f>IFERROR(INDEX('macs_ips'!$B$2:$B$403,AGGREGATE(15,6,(ROW('macs_ips'!$A$2:$A$403)-ROW(INDEX('macs_ips'!$A$2:$A$403,1,1))+1)/('macs_ips'!$E$2:$E$403=$J$1),ROW(A228))),"")</f>
        <v/>
      </c>
      <c r="C230" s="40">
        <f>IFERROR(INDEX('macs_ips'!$C$2:$C$403,AGGREGATE(15,6,(ROW('macs_ips'!$A$2:$A$403)-ROW(INDEX('macs_ips'!$A$2:$A$403,1,1))+1)/('macs_ips'!$E$2:$E$403=$J$1),ROW(A228))),"")</f>
        <v/>
      </c>
      <c r="D230" s="41">
        <f>IFERROR(INDEX('macs_ips'!$D$2:$D$403,AGGREGATE(15,6,(ROW('macs_ips'!$A$2:$A$403)-ROW(INDEX('macs_ips'!$A$2:$A$403,1,1))+1)/('macs_ips'!$E$2:$E$403=$J$1),ROW(A228))),"")</f>
        <v/>
      </c>
      <c r="E230" s="40">
        <f>IFERROR(INDEX('macs_ips'!$E$2:$E$403,AGGREGATE(15,6,(ROW('macs_ips'!$A$2:$A$403)-ROW(INDEX('macs_ips'!$A$2:$A$403,1,1))+1)/('macs_ips'!$E$2:$E$403=$J$1),ROW(A228))),"")</f>
        <v/>
      </c>
      <c r="F230" s="41">
        <f>IFERROR(INDEX('macs_ips'!$F$2:$F$403,AGGREGATE(15,6,(ROW('macs_ips'!$A$2:$A$403)-ROW(INDEX('macs_ips'!$A$2:$A$403,1,1))+1)/('macs_ips'!$E$2:$E$403=$J$1),ROW(A228))),"")</f>
        <v/>
      </c>
      <c r="G230" s="40">
        <f>IFERROR(INDEX('macs_ips'!$G$2:$G$403,AGGREGATE(15,6,(ROW('macs_ips'!$A$2:$A$403)-ROW(INDEX('macs_ips'!$A$2:$A$403,1,1))+1)/('macs_ips'!$E$2:$E$403=$J$1),ROW(A228))),"")</f>
        <v/>
      </c>
    </row>
    <row r="231">
      <c r="A231" s="40">
        <f>IFERROR(INDEX('macs_ips'!$A$2:$A$403,AGGREGATE(15,6,(ROW('macs_ips'!$A$2:$A$403)-ROW(INDEX('macs_ips'!$A$2:$A$403,1,1))+1)/('macs_ips'!$E$2:$E$403=$J$1),ROW(A229))),"")</f>
        <v/>
      </c>
      <c r="B231" s="40">
        <f>IFERROR(INDEX('macs_ips'!$B$2:$B$403,AGGREGATE(15,6,(ROW('macs_ips'!$A$2:$A$403)-ROW(INDEX('macs_ips'!$A$2:$A$403,1,1))+1)/('macs_ips'!$E$2:$E$403=$J$1),ROW(A229))),"")</f>
        <v/>
      </c>
      <c r="C231" s="40">
        <f>IFERROR(INDEX('macs_ips'!$C$2:$C$403,AGGREGATE(15,6,(ROW('macs_ips'!$A$2:$A$403)-ROW(INDEX('macs_ips'!$A$2:$A$403,1,1))+1)/('macs_ips'!$E$2:$E$403=$J$1),ROW(A229))),"")</f>
        <v/>
      </c>
      <c r="D231" s="41">
        <f>IFERROR(INDEX('macs_ips'!$D$2:$D$403,AGGREGATE(15,6,(ROW('macs_ips'!$A$2:$A$403)-ROW(INDEX('macs_ips'!$A$2:$A$403,1,1))+1)/('macs_ips'!$E$2:$E$403=$J$1),ROW(A229))),"")</f>
        <v/>
      </c>
      <c r="E231" s="40">
        <f>IFERROR(INDEX('macs_ips'!$E$2:$E$403,AGGREGATE(15,6,(ROW('macs_ips'!$A$2:$A$403)-ROW(INDEX('macs_ips'!$A$2:$A$403,1,1))+1)/('macs_ips'!$E$2:$E$403=$J$1),ROW(A229))),"")</f>
        <v/>
      </c>
      <c r="F231" s="41">
        <f>IFERROR(INDEX('macs_ips'!$F$2:$F$403,AGGREGATE(15,6,(ROW('macs_ips'!$A$2:$A$403)-ROW(INDEX('macs_ips'!$A$2:$A$403,1,1))+1)/('macs_ips'!$E$2:$E$403=$J$1),ROW(A229))),"")</f>
        <v/>
      </c>
      <c r="G231" s="40">
        <f>IFERROR(INDEX('macs_ips'!$G$2:$G$403,AGGREGATE(15,6,(ROW('macs_ips'!$A$2:$A$403)-ROW(INDEX('macs_ips'!$A$2:$A$403,1,1))+1)/('macs_ips'!$E$2:$E$403=$J$1),ROW(A229))),"")</f>
        <v/>
      </c>
    </row>
    <row r="232">
      <c r="A232" s="40">
        <f>IFERROR(INDEX('macs_ips'!$A$2:$A$403,AGGREGATE(15,6,(ROW('macs_ips'!$A$2:$A$403)-ROW(INDEX('macs_ips'!$A$2:$A$403,1,1))+1)/('macs_ips'!$E$2:$E$403=$J$1),ROW(A230))),"")</f>
        <v/>
      </c>
      <c r="B232" s="40">
        <f>IFERROR(INDEX('macs_ips'!$B$2:$B$403,AGGREGATE(15,6,(ROW('macs_ips'!$A$2:$A$403)-ROW(INDEX('macs_ips'!$A$2:$A$403,1,1))+1)/('macs_ips'!$E$2:$E$403=$J$1),ROW(A230))),"")</f>
        <v/>
      </c>
      <c r="C232" s="40">
        <f>IFERROR(INDEX('macs_ips'!$C$2:$C$403,AGGREGATE(15,6,(ROW('macs_ips'!$A$2:$A$403)-ROW(INDEX('macs_ips'!$A$2:$A$403,1,1))+1)/('macs_ips'!$E$2:$E$403=$J$1),ROW(A230))),"")</f>
        <v/>
      </c>
      <c r="D232" s="41">
        <f>IFERROR(INDEX('macs_ips'!$D$2:$D$403,AGGREGATE(15,6,(ROW('macs_ips'!$A$2:$A$403)-ROW(INDEX('macs_ips'!$A$2:$A$403,1,1))+1)/('macs_ips'!$E$2:$E$403=$J$1),ROW(A230))),"")</f>
        <v/>
      </c>
      <c r="E232" s="40">
        <f>IFERROR(INDEX('macs_ips'!$E$2:$E$403,AGGREGATE(15,6,(ROW('macs_ips'!$A$2:$A$403)-ROW(INDEX('macs_ips'!$A$2:$A$403,1,1))+1)/('macs_ips'!$E$2:$E$403=$J$1),ROW(A230))),"")</f>
        <v/>
      </c>
      <c r="F232" s="41">
        <f>IFERROR(INDEX('macs_ips'!$F$2:$F$403,AGGREGATE(15,6,(ROW('macs_ips'!$A$2:$A$403)-ROW(INDEX('macs_ips'!$A$2:$A$403,1,1))+1)/('macs_ips'!$E$2:$E$403=$J$1),ROW(A230))),"")</f>
        <v/>
      </c>
      <c r="G232" s="40">
        <f>IFERROR(INDEX('macs_ips'!$G$2:$G$403,AGGREGATE(15,6,(ROW('macs_ips'!$A$2:$A$403)-ROW(INDEX('macs_ips'!$A$2:$A$403,1,1))+1)/('macs_ips'!$E$2:$E$403=$J$1),ROW(A230))),"")</f>
        <v/>
      </c>
    </row>
    <row r="233">
      <c r="A233" s="40">
        <f>IFERROR(INDEX('macs_ips'!$A$2:$A$403,AGGREGATE(15,6,(ROW('macs_ips'!$A$2:$A$403)-ROW(INDEX('macs_ips'!$A$2:$A$403,1,1))+1)/('macs_ips'!$E$2:$E$403=$J$1),ROW(A231))),"")</f>
        <v/>
      </c>
      <c r="B233" s="40">
        <f>IFERROR(INDEX('macs_ips'!$B$2:$B$403,AGGREGATE(15,6,(ROW('macs_ips'!$A$2:$A$403)-ROW(INDEX('macs_ips'!$A$2:$A$403,1,1))+1)/('macs_ips'!$E$2:$E$403=$J$1),ROW(A231))),"")</f>
        <v/>
      </c>
      <c r="C233" s="40">
        <f>IFERROR(INDEX('macs_ips'!$C$2:$C$403,AGGREGATE(15,6,(ROW('macs_ips'!$A$2:$A$403)-ROW(INDEX('macs_ips'!$A$2:$A$403,1,1))+1)/('macs_ips'!$E$2:$E$403=$J$1),ROW(A231))),"")</f>
        <v/>
      </c>
      <c r="D233" s="41">
        <f>IFERROR(INDEX('macs_ips'!$D$2:$D$403,AGGREGATE(15,6,(ROW('macs_ips'!$A$2:$A$403)-ROW(INDEX('macs_ips'!$A$2:$A$403,1,1))+1)/('macs_ips'!$E$2:$E$403=$J$1),ROW(A231))),"")</f>
        <v/>
      </c>
      <c r="E233" s="40">
        <f>IFERROR(INDEX('macs_ips'!$E$2:$E$403,AGGREGATE(15,6,(ROW('macs_ips'!$A$2:$A$403)-ROW(INDEX('macs_ips'!$A$2:$A$403,1,1))+1)/('macs_ips'!$E$2:$E$403=$J$1),ROW(A231))),"")</f>
        <v/>
      </c>
      <c r="F233" s="41">
        <f>IFERROR(INDEX('macs_ips'!$F$2:$F$403,AGGREGATE(15,6,(ROW('macs_ips'!$A$2:$A$403)-ROW(INDEX('macs_ips'!$A$2:$A$403,1,1))+1)/('macs_ips'!$E$2:$E$403=$J$1),ROW(A231))),"")</f>
        <v/>
      </c>
      <c r="G233" s="40">
        <f>IFERROR(INDEX('macs_ips'!$G$2:$G$403,AGGREGATE(15,6,(ROW('macs_ips'!$A$2:$A$403)-ROW(INDEX('macs_ips'!$A$2:$A$403,1,1))+1)/('macs_ips'!$E$2:$E$403=$J$1),ROW(A231))),"")</f>
        <v/>
      </c>
    </row>
    <row r="234">
      <c r="A234" s="40">
        <f>IFERROR(INDEX('macs_ips'!$A$2:$A$403,AGGREGATE(15,6,(ROW('macs_ips'!$A$2:$A$403)-ROW(INDEX('macs_ips'!$A$2:$A$403,1,1))+1)/('macs_ips'!$E$2:$E$403=$J$1),ROW(A232))),"")</f>
        <v/>
      </c>
      <c r="B234" s="40">
        <f>IFERROR(INDEX('macs_ips'!$B$2:$B$403,AGGREGATE(15,6,(ROW('macs_ips'!$A$2:$A$403)-ROW(INDEX('macs_ips'!$A$2:$A$403,1,1))+1)/('macs_ips'!$E$2:$E$403=$J$1),ROW(A232))),"")</f>
        <v/>
      </c>
      <c r="C234" s="40">
        <f>IFERROR(INDEX('macs_ips'!$C$2:$C$403,AGGREGATE(15,6,(ROW('macs_ips'!$A$2:$A$403)-ROW(INDEX('macs_ips'!$A$2:$A$403,1,1))+1)/('macs_ips'!$E$2:$E$403=$J$1),ROW(A232))),"")</f>
        <v/>
      </c>
      <c r="D234" s="41">
        <f>IFERROR(INDEX('macs_ips'!$D$2:$D$403,AGGREGATE(15,6,(ROW('macs_ips'!$A$2:$A$403)-ROW(INDEX('macs_ips'!$A$2:$A$403,1,1))+1)/('macs_ips'!$E$2:$E$403=$J$1),ROW(A232))),"")</f>
        <v/>
      </c>
      <c r="E234" s="40">
        <f>IFERROR(INDEX('macs_ips'!$E$2:$E$403,AGGREGATE(15,6,(ROW('macs_ips'!$A$2:$A$403)-ROW(INDEX('macs_ips'!$A$2:$A$403,1,1))+1)/('macs_ips'!$E$2:$E$403=$J$1),ROW(A232))),"")</f>
        <v/>
      </c>
      <c r="F234" s="41">
        <f>IFERROR(INDEX('macs_ips'!$F$2:$F$403,AGGREGATE(15,6,(ROW('macs_ips'!$A$2:$A$403)-ROW(INDEX('macs_ips'!$A$2:$A$403,1,1))+1)/('macs_ips'!$E$2:$E$403=$J$1),ROW(A232))),"")</f>
        <v/>
      </c>
      <c r="G234" s="40">
        <f>IFERROR(INDEX('macs_ips'!$G$2:$G$403,AGGREGATE(15,6,(ROW('macs_ips'!$A$2:$A$403)-ROW(INDEX('macs_ips'!$A$2:$A$403,1,1))+1)/('macs_ips'!$E$2:$E$403=$J$1),ROW(A232))),"")</f>
        <v/>
      </c>
    </row>
    <row r="235">
      <c r="A235" s="40">
        <f>IFERROR(INDEX('macs_ips'!$A$2:$A$403,AGGREGATE(15,6,(ROW('macs_ips'!$A$2:$A$403)-ROW(INDEX('macs_ips'!$A$2:$A$403,1,1))+1)/('macs_ips'!$E$2:$E$403=$J$1),ROW(A233))),"")</f>
        <v/>
      </c>
      <c r="B235" s="40">
        <f>IFERROR(INDEX('macs_ips'!$B$2:$B$403,AGGREGATE(15,6,(ROW('macs_ips'!$A$2:$A$403)-ROW(INDEX('macs_ips'!$A$2:$A$403,1,1))+1)/('macs_ips'!$E$2:$E$403=$J$1),ROW(A233))),"")</f>
        <v/>
      </c>
      <c r="C235" s="40">
        <f>IFERROR(INDEX('macs_ips'!$C$2:$C$403,AGGREGATE(15,6,(ROW('macs_ips'!$A$2:$A$403)-ROW(INDEX('macs_ips'!$A$2:$A$403,1,1))+1)/('macs_ips'!$E$2:$E$403=$J$1),ROW(A233))),"")</f>
        <v/>
      </c>
      <c r="D235" s="41">
        <f>IFERROR(INDEX('macs_ips'!$D$2:$D$403,AGGREGATE(15,6,(ROW('macs_ips'!$A$2:$A$403)-ROW(INDEX('macs_ips'!$A$2:$A$403,1,1))+1)/('macs_ips'!$E$2:$E$403=$J$1),ROW(A233))),"")</f>
        <v/>
      </c>
      <c r="E235" s="40">
        <f>IFERROR(INDEX('macs_ips'!$E$2:$E$403,AGGREGATE(15,6,(ROW('macs_ips'!$A$2:$A$403)-ROW(INDEX('macs_ips'!$A$2:$A$403,1,1))+1)/('macs_ips'!$E$2:$E$403=$J$1),ROW(A233))),"")</f>
        <v/>
      </c>
      <c r="F235" s="41">
        <f>IFERROR(INDEX('macs_ips'!$F$2:$F$403,AGGREGATE(15,6,(ROW('macs_ips'!$A$2:$A$403)-ROW(INDEX('macs_ips'!$A$2:$A$403,1,1))+1)/('macs_ips'!$E$2:$E$403=$J$1),ROW(A233))),"")</f>
        <v/>
      </c>
      <c r="G235" s="40">
        <f>IFERROR(INDEX('macs_ips'!$G$2:$G$403,AGGREGATE(15,6,(ROW('macs_ips'!$A$2:$A$403)-ROW(INDEX('macs_ips'!$A$2:$A$403,1,1))+1)/('macs_ips'!$E$2:$E$403=$J$1),ROW(A233))),"")</f>
        <v/>
      </c>
    </row>
    <row r="236">
      <c r="A236" s="40">
        <f>IFERROR(INDEX('macs_ips'!$A$2:$A$403,AGGREGATE(15,6,(ROW('macs_ips'!$A$2:$A$403)-ROW(INDEX('macs_ips'!$A$2:$A$403,1,1))+1)/('macs_ips'!$E$2:$E$403=$J$1),ROW(A234))),"")</f>
        <v/>
      </c>
      <c r="B236" s="40">
        <f>IFERROR(INDEX('macs_ips'!$B$2:$B$403,AGGREGATE(15,6,(ROW('macs_ips'!$A$2:$A$403)-ROW(INDEX('macs_ips'!$A$2:$A$403,1,1))+1)/('macs_ips'!$E$2:$E$403=$J$1),ROW(A234))),"")</f>
        <v/>
      </c>
      <c r="C236" s="40">
        <f>IFERROR(INDEX('macs_ips'!$C$2:$C$403,AGGREGATE(15,6,(ROW('macs_ips'!$A$2:$A$403)-ROW(INDEX('macs_ips'!$A$2:$A$403,1,1))+1)/('macs_ips'!$E$2:$E$403=$J$1),ROW(A234))),"")</f>
        <v/>
      </c>
      <c r="D236" s="41">
        <f>IFERROR(INDEX('macs_ips'!$D$2:$D$403,AGGREGATE(15,6,(ROW('macs_ips'!$A$2:$A$403)-ROW(INDEX('macs_ips'!$A$2:$A$403,1,1))+1)/('macs_ips'!$E$2:$E$403=$J$1),ROW(A234))),"")</f>
        <v/>
      </c>
      <c r="E236" s="40">
        <f>IFERROR(INDEX('macs_ips'!$E$2:$E$403,AGGREGATE(15,6,(ROW('macs_ips'!$A$2:$A$403)-ROW(INDEX('macs_ips'!$A$2:$A$403,1,1))+1)/('macs_ips'!$E$2:$E$403=$J$1),ROW(A234))),"")</f>
        <v/>
      </c>
      <c r="F236" s="41">
        <f>IFERROR(INDEX('macs_ips'!$F$2:$F$403,AGGREGATE(15,6,(ROW('macs_ips'!$A$2:$A$403)-ROW(INDEX('macs_ips'!$A$2:$A$403,1,1))+1)/('macs_ips'!$E$2:$E$403=$J$1),ROW(A234))),"")</f>
        <v/>
      </c>
      <c r="G236" s="40">
        <f>IFERROR(INDEX('macs_ips'!$G$2:$G$403,AGGREGATE(15,6,(ROW('macs_ips'!$A$2:$A$403)-ROW(INDEX('macs_ips'!$A$2:$A$403,1,1))+1)/('macs_ips'!$E$2:$E$403=$J$1),ROW(A234))),"")</f>
        <v/>
      </c>
    </row>
    <row r="237">
      <c r="A237" s="40">
        <f>IFERROR(INDEX('macs_ips'!$A$2:$A$403,AGGREGATE(15,6,(ROW('macs_ips'!$A$2:$A$403)-ROW(INDEX('macs_ips'!$A$2:$A$403,1,1))+1)/('macs_ips'!$E$2:$E$403=$J$1),ROW(A235))),"")</f>
        <v/>
      </c>
      <c r="B237" s="40">
        <f>IFERROR(INDEX('macs_ips'!$B$2:$B$403,AGGREGATE(15,6,(ROW('macs_ips'!$A$2:$A$403)-ROW(INDEX('macs_ips'!$A$2:$A$403,1,1))+1)/('macs_ips'!$E$2:$E$403=$J$1),ROW(A235))),"")</f>
        <v/>
      </c>
      <c r="C237" s="40">
        <f>IFERROR(INDEX('macs_ips'!$C$2:$C$403,AGGREGATE(15,6,(ROW('macs_ips'!$A$2:$A$403)-ROW(INDEX('macs_ips'!$A$2:$A$403,1,1))+1)/('macs_ips'!$E$2:$E$403=$J$1),ROW(A235))),"")</f>
        <v/>
      </c>
      <c r="D237" s="41">
        <f>IFERROR(INDEX('macs_ips'!$D$2:$D$403,AGGREGATE(15,6,(ROW('macs_ips'!$A$2:$A$403)-ROW(INDEX('macs_ips'!$A$2:$A$403,1,1))+1)/('macs_ips'!$E$2:$E$403=$J$1),ROW(A235))),"")</f>
        <v/>
      </c>
      <c r="E237" s="40">
        <f>IFERROR(INDEX('macs_ips'!$E$2:$E$403,AGGREGATE(15,6,(ROW('macs_ips'!$A$2:$A$403)-ROW(INDEX('macs_ips'!$A$2:$A$403,1,1))+1)/('macs_ips'!$E$2:$E$403=$J$1),ROW(A235))),"")</f>
        <v/>
      </c>
      <c r="F237" s="41">
        <f>IFERROR(INDEX('macs_ips'!$F$2:$F$403,AGGREGATE(15,6,(ROW('macs_ips'!$A$2:$A$403)-ROW(INDEX('macs_ips'!$A$2:$A$403,1,1))+1)/('macs_ips'!$E$2:$E$403=$J$1),ROW(A235))),"")</f>
        <v/>
      </c>
      <c r="G237" s="40">
        <f>IFERROR(INDEX('macs_ips'!$G$2:$G$403,AGGREGATE(15,6,(ROW('macs_ips'!$A$2:$A$403)-ROW(INDEX('macs_ips'!$A$2:$A$403,1,1))+1)/('macs_ips'!$E$2:$E$403=$J$1),ROW(A235))),"")</f>
        <v/>
      </c>
    </row>
    <row r="238">
      <c r="A238" s="40">
        <f>IFERROR(INDEX('macs_ips'!$A$2:$A$403,AGGREGATE(15,6,(ROW('macs_ips'!$A$2:$A$403)-ROW(INDEX('macs_ips'!$A$2:$A$403,1,1))+1)/('macs_ips'!$E$2:$E$403=$J$1),ROW(A236))),"")</f>
        <v/>
      </c>
      <c r="B238" s="40">
        <f>IFERROR(INDEX('macs_ips'!$B$2:$B$403,AGGREGATE(15,6,(ROW('macs_ips'!$A$2:$A$403)-ROW(INDEX('macs_ips'!$A$2:$A$403,1,1))+1)/('macs_ips'!$E$2:$E$403=$J$1),ROW(A236))),"")</f>
        <v/>
      </c>
      <c r="C238" s="40">
        <f>IFERROR(INDEX('macs_ips'!$C$2:$C$403,AGGREGATE(15,6,(ROW('macs_ips'!$A$2:$A$403)-ROW(INDEX('macs_ips'!$A$2:$A$403,1,1))+1)/('macs_ips'!$E$2:$E$403=$J$1),ROW(A236))),"")</f>
        <v/>
      </c>
      <c r="D238" s="41">
        <f>IFERROR(INDEX('macs_ips'!$D$2:$D$403,AGGREGATE(15,6,(ROW('macs_ips'!$A$2:$A$403)-ROW(INDEX('macs_ips'!$A$2:$A$403,1,1))+1)/('macs_ips'!$E$2:$E$403=$J$1),ROW(A236))),"")</f>
        <v/>
      </c>
      <c r="E238" s="40">
        <f>IFERROR(INDEX('macs_ips'!$E$2:$E$403,AGGREGATE(15,6,(ROW('macs_ips'!$A$2:$A$403)-ROW(INDEX('macs_ips'!$A$2:$A$403,1,1))+1)/('macs_ips'!$E$2:$E$403=$J$1),ROW(A236))),"")</f>
        <v/>
      </c>
      <c r="F238" s="41">
        <f>IFERROR(INDEX('macs_ips'!$F$2:$F$403,AGGREGATE(15,6,(ROW('macs_ips'!$A$2:$A$403)-ROW(INDEX('macs_ips'!$A$2:$A$403,1,1))+1)/('macs_ips'!$E$2:$E$403=$J$1),ROW(A236))),"")</f>
        <v/>
      </c>
      <c r="G238" s="40">
        <f>IFERROR(INDEX('macs_ips'!$G$2:$G$403,AGGREGATE(15,6,(ROW('macs_ips'!$A$2:$A$403)-ROW(INDEX('macs_ips'!$A$2:$A$403,1,1))+1)/('macs_ips'!$E$2:$E$403=$J$1),ROW(A236))),"")</f>
        <v/>
      </c>
    </row>
    <row r="239">
      <c r="A239" s="40">
        <f>IFERROR(INDEX('macs_ips'!$A$2:$A$403,AGGREGATE(15,6,(ROW('macs_ips'!$A$2:$A$403)-ROW(INDEX('macs_ips'!$A$2:$A$403,1,1))+1)/('macs_ips'!$E$2:$E$403=$J$1),ROW(A237))),"")</f>
        <v/>
      </c>
      <c r="B239" s="40">
        <f>IFERROR(INDEX('macs_ips'!$B$2:$B$403,AGGREGATE(15,6,(ROW('macs_ips'!$A$2:$A$403)-ROW(INDEX('macs_ips'!$A$2:$A$403,1,1))+1)/('macs_ips'!$E$2:$E$403=$J$1),ROW(A237))),"")</f>
        <v/>
      </c>
      <c r="C239" s="40">
        <f>IFERROR(INDEX('macs_ips'!$C$2:$C$403,AGGREGATE(15,6,(ROW('macs_ips'!$A$2:$A$403)-ROW(INDEX('macs_ips'!$A$2:$A$403,1,1))+1)/('macs_ips'!$E$2:$E$403=$J$1),ROW(A237))),"")</f>
        <v/>
      </c>
      <c r="D239" s="41">
        <f>IFERROR(INDEX('macs_ips'!$D$2:$D$403,AGGREGATE(15,6,(ROW('macs_ips'!$A$2:$A$403)-ROW(INDEX('macs_ips'!$A$2:$A$403,1,1))+1)/('macs_ips'!$E$2:$E$403=$J$1),ROW(A237))),"")</f>
        <v/>
      </c>
      <c r="E239" s="40">
        <f>IFERROR(INDEX('macs_ips'!$E$2:$E$403,AGGREGATE(15,6,(ROW('macs_ips'!$A$2:$A$403)-ROW(INDEX('macs_ips'!$A$2:$A$403,1,1))+1)/('macs_ips'!$E$2:$E$403=$J$1),ROW(A237))),"")</f>
        <v/>
      </c>
      <c r="F239" s="41">
        <f>IFERROR(INDEX('macs_ips'!$F$2:$F$403,AGGREGATE(15,6,(ROW('macs_ips'!$A$2:$A$403)-ROW(INDEX('macs_ips'!$A$2:$A$403,1,1))+1)/('macs_ips'!$E$2:$E$403=$J$1),ROW(A237))),"")</f>
        <v/>
      </c>
      <c r="G239" s="40">
        <f>IFERROR(INDEX('macs_ips'!$G$2:$G$403,AGGREGATE(15,6,(ROW('macs_ips'!$A$2:$A$403)-ROW(INDEX('macs_ips'!$A$2:$A$403,1,1))+1)/('macs_ips'!$E$2:$E$403=$J$1),ROW(A237))),"")</f>
        <v/>
      </c>
    </row>
    <row r="240">
      <c r="A240" s="40">
        <f>IFERROR(INDEX('macs_ips'!$A$2:$A$403,AGGREGATE(15,6,(ROW('macs_ips'!$A$2:$A$403)-ROW(INDEX('macs_ips'!$A$2:$A$403,1,1))+1)/('macs_ips'!$E$2:$E$403=$J$1),ROW(A238))),"")</f>
        <v/>
      </c>
      <c r="B240" s="40">
        <f>IFERROR(INDEX('macs_ips'!$B$2:$B$403,AGGREGATE(15,6,(ROW('macs_ips'!$A$2:$A$403)-ROW(INDEX('macs_ips'!$A$2:$A$403,1,1))+1)/('macs_ips'!$E$2:$E$403=$J$1),ROW(A238))),"")</f>
        <v/>
      </c>
      <c r="C240" s="40">
        <f>IFERROR(INDEX('macs_ips'!$C$2:$C$403,AGGREGATE(15,6,(ROW('macs_ips'!$A$2:$A$403)-ROW(INDEX('macs_ips'!$A$2:$A$403,1,1))+1)/('macs_ips'!$E$2:$E$403=$J$1),ROW(A238))),"")</f>
        <v/>
      </c>
      <c r="D240" s="41">
        <f>IFERROR(INDEX('macs_ips'!$D$2:$D$403,AGGREGATE(15,6,(ROW('macs_ips'!$A$2:$A$403)-ROW(INDEX('macs_ips'!$A$2:$A$403,1,1))+1)/('macs_ips'!$E$2:$E$403=$J$1),ROW(A238))),"")</f>
        <v/>
      </c>
      <c r="E240" s="40">
        <f>IFERROR(INDEX('macs_ips'!$E$2:$E$403,AGGREGATE(15,6,(ROW('macs_ips'!$A$2:$A$403)-ROW(INDEX('macs_ips'!$A$2:$A$403,1,1))+1)/('macs_ips'!$E$2:$E$403=$J$1),ROW(A238))),"")</f>
        <v/>
      </c>
      <c r="F240" s="41">
        <f>IFERROR(INDEX('macs_ips'!$F$2:$F$403,AGGREGATE(15,6,(ROW('macs_ips'!$A$2:$A$403)-ROW(INDEX('macs_ips'!$A$2:$A$403,1,1))+1)/('macs_ips'!$E$2:$E$403=$J$1),ROW(A238))),"")</f>
        <v/>
      </c>
      <c r="G240" s="40">
        <f>IFERROR(INDEX('macs_ips'!$G$2:$G$403,AGGREGATE(15,6,(ROW('macs_ips'!$A$2:$A$403)-ROW(INDEX('macs_ips'!$A$2:$A$403,1,1))+1)/('macs_ips'!$E$2:$E$403=$J$1),ROW(A238))),"")</f>
        <v/>
      </c>
    </row>
    <row r="241">
      <c r="A241" s="40">
        <f>IFERROR(INDEX('macs_ips'!$A$2:$A$403,AGGREGATE(15,6,(ROW('macs_ips'!$A$2:$A$403)-ROW(INDEX('macs_ips'!$A$2:$A$403,1,1))+1)/('macs_ips'!$E$2:$E$403=$J$1),ROW(A239))),"")</f>
        <v/>
      </c>
      <c r="B241" s="40">
        <f>IFERROR(INDEX('macs_ips'!$B$2:$B$403,AGGREGATE(15,6,(ROW('macs_ips'!$A$2:$A$403)-ROW(INDEX('macs_ips'!$A$2:$A$403,1,1))+1)/('macs_ips'!$E$2:$E$403=$J$1),ROW(A239))),"")</f>
        <v/>
      </c>
      <c r="C241" s="40">
        <f>IFERROR(INDEX('macs_ips'!$C$2:$C$403,AGGREGATE(15,6,(ROW('macs_ips'!$A$2:$A$403)-ROW(INDEX('macs_ips'!$A$2:$A$403,1,1))+1)/('macs_ips'!$E$2:$E$403=$J$1),ROW(A239))),"")</f>
        <v/>
      </c>
      <c r="D241" s="41">
        <f>IFERROR(INDEX('macs_ips'!$D$2:$D$403,AGGREGATE(15,6,(ROW('macs_ips'!$A$2:$A$403)-ROW(INDEX('macs_ips'!$A$2:$A$403,1,1))+1)/('macs_ips'!$E$2:$E$403=$J$1),ROW(A239))),"")</f>
        <v/>
      </c>
      <c r="E241" s="40">
        <f>IFERROR(INDEX('macs_ips'!$E$2:$E$403,AGGREGATE(15,6,(ROW('macs_ips'!$A$2:$A$403)-ROW(INDEX('macs_ips'!$A$2:$A$403,1,1))+1)/('macs_ips'!$E$2:$E$403=$J$1),ROW(A239))),"")</f>
        <v/>
      </c>
      <c r="F241" s="41">
        <f>IFERROR(INDEX('macs_ips'!$F$2:$F$403,AGGREGATE(15,6,(ROW('macs_ips'!$A$2:$A$403)-ROW(INDEX('macs_ips'!$A$2:$A$403,1,1))+1)/('macs_ips'!$E$2:$E$403=$J$1),ROW(A239))),"")</f>
        <v/>
      </c>
      <c r="G241" s="40">
        <f>IFERROR(INDEX('macs_ips'!$G$2:$G$403,AGGREGATE(15,6,(ROW('macs_ips'!$A$2:$A$403)-ROW(INDEX('macs_ips'!$A$2:$A$403,1,1))+1)/('macs_ips'!$E$2:$E$403=$J$1),ROW(A239))),"")</f>
        <v/>
      </c>
    </row>
    <row r="242">
      <c r="A242" s="40">
        <f>IFERROR(INDEX('macs_ips'!$A$2:$A$403,AGGREGATE(15,6,(ROW('macs_ips'!$A$2:$A$403)-ROW(INDEX('macs_ips'!$A$2:$A$403,1,1))+1)/('macs_ips'!$E$2:$E$403=$J$1),ROW(A240))),"")</f>
        <v/>
      </c>
      <c r="B242" s="40">
        <f>IFERROR(INDEX('macs_ips'!$B$2:$B$403,AGGREGATE(15,6,(ROW('macs_ips'!$A$2:$A$403)-ROW(INDEX('macs_ips'!$A$2:$A$403,1,1))+1)/('macs_ips'!$E$2:$E$403=$J$1),ROW(A240))),"")</f>
        <v/>
      </c>
      <c r="C242" s="40">
        <f>IFERROR(INDEX('macs_ips'!$C$2:$C$403,AGGREGATE(15,6,(ROW('macs_ips'!$A$2:$A$403)-ROW(INDEX('macs_ips'!$A$2:$A$403,1,1))+1)/('macs_ips'!$E$2:$E$403=$J$1),ROW(A240))),"")</f>
        <v/>
      </c>
      <c r="D242" s="41">
        <f>IFERROR(INDEX('macs_ips'!$D$2:$D$403,AGGREGATE(15,6,(ROW('macs_ips'!$A$2:$A$403)-ROW(INDEX('macs_ips'!$A$2:$A$403,1,1))+1)/('macs_ips'!$E$2:$E$403=$J$1),ROW(A240))),"")</f>
        <v/>
      </c>
      <c r="E242" s="40">
        <f>IFERROR(INDEX('macs_ips'!$E$2:$E$403,AGGREGATE(15,6,(ROW('macs_ips'!$A$2:$A$403)-ROW(INDEX('macs_ips'!$A$2:$A$403,1,1))+1)/('macs_ips'!$E$2:$E$403=$J$1),ROW(A240))),"")</f>
        <v/>
      </c>
      <c r="F242" s="41">
        <f>IFERROR(INDEX('macs_ips'!$F$2:$F$403,AGGREGATE(15,6,(ROW('macs_ips'!$A$2:$A$403)-ROW(INDEX('macs_ips'!$A$2:$A$403,1,1))+1)/('macs_ips'!$E$2:$E$403=$J$1),ROW(A240))),"")</f>
        <v/>
      </c>
      <c r="G242" s="40">
        <f>IFERROR(INDEX('macs_ips'!$G$2:$G$403,AGGREGATE(15,6,(ROW('macs_ips'!$A$2:$A$403)-ROW(INDEX('macs_ips'!$A$2:$A$403,1,1))+1)/('macs_ips'!$E$2:$E$403=$J$1),ROW(A240))),"")</f>
        <v/>
      </c>
    </row>
    <row r="243">
      <c r="A243" s="40">
        <f>IFERROR(INDEX('macs_ips'!$A$2:$A$403,AGGREGATE(15,6,(ROW('macs_ips'!$A$2:$A$403)-ROW(INDEX('macs_ips'!$A$2:$A$403,1,1))+1)/('macs_ips'!$E$2:$E$403=$J$1),ROW(A241))),"")</f>
        <v/>
      </c>
      <c r="B243" s="40">
        <f>IFERROR(INDEX('macs_ips'!$B$2:$B$403,AGGREGATE(15,6,(ROW('macs_ips'!$A$2:$A$403)-ROW(INDEX('macs_ips'!$A$2:$A$403,1,1))+1)/('macs_ips'!$E$2:$E$403=$J$1),ROW(A241))),"")</f>
        <v/>
      </c>
      <c r="C243" s="40">
        <f>IFERROR(INDEX('macs_ips'!$C$2:$C$403,AGGREGATE(15,6,(ROW('macs_ips'!$A$2:$A$403)-ROW(INDEX('macs_ips'!$A$2:$A$403,1,1))+1)/('macs_ips'!$E$2:$E$403=$J$1),ROW(A241))),"")</f>
        <v/>
      </c>
      <c r="D243" s="41">
        <f>IFERROR(INDEX('macs_ips'!$D$2:$D$403,AGGREGATE(15,6,(ROW('macs_ips'!$A$2:$A$403)-ROW(INDEX('macs_ips'!$A$2:$A$403,1,1))+1)/('macs_ips'!$E$2:$E$403=$J$1),ROW(A241))),"")</f>
        <v/>
      </c>
      <c r="E243" s="40">
        <f>IFERROR(INDEX('macs_ips'!$E$2:$E$403,AGGREGATE(15,6,(ROW('macs_ips'!$A$2:$A$403)-ROW(INDEX('macs_ips'!$A$2:$A$403,1,1))+1)/('macs_ips'!$E$2:$E$403=$J$1),ROW(A241))),"")</f>
        <v/>
      </c>
      <c r="F243" s="41">
        <f>IFERROR(INDEX('macs_ips'!$F$2:$F$403,AGGREGATE(15,6,(ROW('macs_ips'!$A$2:$A$403)-ROW(INDEX('macs_ips'!$A$2:$A$403,1,1))+1)/('macs_ips'!$E$2:$E$403=$J$1),ROW(A241))),"")</f>
        <v/>
      </c>
      <c r="G243" s="40">
        <f>IFERROR(INDEX('macs_ips'!$G$2:$G$403,AGGREGATE(15,6,(ROW('macs_ips'!$A$2:$A$403)-ROW(INDEX('macs_ips'!$A$2:$A$403,1,1))+1)/('macs_ips'!$E$2:$E$403=$J$1),ROW(A241))),"")</f>
        <v/>
      </c>
    </row>
    <row r="244">
      <c r="A244" s="40">
        <f>IFERROR(INDEX('macs_ips'!$A$2:$A$403,AGGREGATE(15,6,(ROW('macs_ips'!$A$2:$A$403)-ROW(INDEX('macs_ips'!$A$2:$A$403,1,1))+1)/('macs_ips'!$E$2:$E$403=$J$1),ROW(A242))),"")</f>
        <v/>
      </c>
      <c r="B244" s="40">
        <f>IFERROR(INDEX('macs_ips'!$B$2:$B$403,AGGREGATE(15,6,(ROW('macs_ips'!$A$2:$A$403)-ROW(INDEX('macs_ips'!$A$2:$A$403,1,1))+1)/('macs_ips'!$E$2:$E$403=$J$1),ROW(A242))),"")</f>
        <v/>
      </c>
      <c r="C244" s="40">
        <f>IFERROR(INDEX('macs_ips'!$C$2:$C$403,AGGREGATE(15,6,(ROW('macs_ips'!$A$2:$A$403)-ROW(INDEX('macs_ips'!$A$2:$A$403,1,1))+1)/('macs_ips'!$E$2:$E$403=$J$1),ROW(A242))),"")</f>
        <v/>
      </c>
      <c r="D244" s="41">
        <f>IFERROR(INDEX('macs_ips'!$D$2:$D$403,AGGREGATE(15,6,(ROW('macs_ips'!$A$2:$A$403)-ROW(INDEX('macs_ips'!$A$2:$A$403,1,1))+1)/('macs_ips'!$E$2:$E$403=$J$1),ROW(A242))),"")</f>
        <v/>
      </c>
      <c r="E244" s="40">
        <f>IFERROR(INDEX('macs_ips'!$E$2:$E$403,AGGREGATE(15,6,(ROW('macs_ips'!$A$2:$A$403)-ROW(INDEX('macs_ips'!$A$2:$A$403,1,1))+1)/('macs_ips'!$E$2:$E$403=$J$1),ROW(A242))),"")</f>
        <v/>
      </c>
      <c r="F244" s="41">
        <f>IFERROR(INDEX('macs_ips'!$F$2:$F$403,AGGREGATE(15,6,(ROW('macs_ips'!$A$2:$A$403)-ROW(INDEX('macs_ips'!$A$2:$A$403,1,1))+1)/('macs_ips'!$E$2:$E$403=$J$1),ROW(A242))),"")</f>
        <v/>
      </c>
      <c r="G244" s="40">
        <f>IFERROR(INDEX('macs_ips'!$G$2:$G$403,AGGREGATE(15,6,(ROW('macs_ips'!$A$2:$A$403)-ROW(INDEX('macs_ips'!$A$2:$A$403,1,1))+1)/('macs_ips'!$E$2:$E$403=$J$1),ROW(A242))),"")</f>
        <v/>
      </c>
    </row>
    <row r="245">
      <c r="A245" s="40">
        <f>IFERROR(INDEX('macs_ips'!$A$2:$A$403,AGGREGATE(15,6,(ROW('macs_ips'!$A$2:$A$403)-ROW(INDEX('macs_ips'!$A$2:$A$403,1,1))+1)/('macs_ips'!$E$2:$E$403=$J$1),ROW(A243))),"")</f>
        <v/>
      </c>
      <c r="B245" s="40">
        <f>IFERROR(INDEX('macs_ips'!$B$2:$B$403,AGGREGATE(15,6,(ROW('macs_ips'!$A$2:$A$403)-ROW(INDEX('macs_ips'!$A$2:$A$403,1,1))+1)/('macs_ips'!$E$2:$E$403=$J$1),ROW(A243))),"")</f>
        <v/>
      </c>
      <c r="C245" s="40">
        <f>IFERROR(INDEX('macs_ips'!$C$2:$C$403,AGGREGATE(15,6,(ROW('macs_ips'!$A$2:$A$403)-ROW(INDEX('macs_ips'!$A$2:$A$403,1,1))+1)/('macs_ips'!$E$2:$E$403=$J$1),ROW(A243))),"")</f>
        <v/>
      </c>
      <c r="D245" s="41">
        <f>IFERROR(INDEX('macs_ips'!$D$2:$D$403,AGGREGATE(15,6,(ROW('macs_ips'!$A$2:$A$403)-ROW(INDEX('macs_ips'!$A$2:$A$403,1,1))+1)/('macs_ips'!$E$2:$E$403=$J$1),ROW(A243))),"")</f>
        <v/>
      </c>
      <c r="E245" s="40">
        <f>IFERROR(INDEX('macs_ips'!$E$2:$E$403,AGGREGATE(15,6,(ROW('macs_ips'!$A$2:$A$403)-ROW(INDEX('macs_ips'!$A$2:$A$403,1,1))+1)/('macs_ips'!$E$2:$E$403=$J$1),ROW(A243))),"")</f>
        <v/>
      </c>
      <c r="F245" s="41">
        <f>IFERROR(INDEX('macs_ips'!$F$2:$F$403,AGGREGATE(15,6,(ROW('macs_ips'!$A$2:$A$403)-ROW(INDEX('macs_ips'!$A$2:$A$403,1,1))+1)/('macs_ips'!$E$2:$E$403=$J$1),ROW(A243))),"")</f>
        <v/>
      </c>
      <c r="G245" s="40">
        <f>IFERROR(INDEX('macs_ips'!$G$2:$G$403,AGGREGATE(15,6,(ROW('macs_ips'!$A$2:$A$403)-ROW(INDEX('macs_ips'!$A$2:$A$403,1,1))+1)/('macs_ips'!$E$2:$E$403=$J$1),ROW(A243))),"")</f>
        <v/>
      </c>
    </row>
    <row r="246">
      <c r="A246" s="40">
        <f>IFERROR(INDEX('macs_ips'!$A$2:$A$403,AGGREGATE(15,6,(ROW('macs_ips'!$A$2:$A$403)-ROW(INDEX('macs_ips'!$A$2:$A$403,1,1))+1)/('macs_ips'!$E$2:$E$403=$J$1),ROW(A244))),"")</f>
        <v/>
      </c>
      <c r="B246" s="40">
        <f>IFERROR(INDEX('macs_ips'!$B$2:$B$403,AGGREGATE(15,6,(ROW('macs_ips'!$A$2:$A$403)-ROW(INDEX('macs_ips'!$A$2:$A$403,1,1))+1)/('macs_ips'!$E$2:$E$403=$J$1),ROW(A244))),"")</f>
        <v/>
      </c>
      <c r="C246" s="40">
        <f>IFERROR(INDEX('macs_ips'!$C$2:$C$403,AGGREGATE(15,6,(ROW('macs_ips'!$A$2:$A$403)-ROW(INDEX('macs_ips'!$A$2:$A$403,1,1))+1)/('macs_ips'!$E$2:$E$403=$J$1),ROW(A244))),"")</f>
        <v/>
      </c>
      <c r="D246" s="41">
        <f>IFERROR(INDEX('macs_ips'!$D$2:$D$403,AGGREGATE(15,6,(ROW('macs_ips'!$A$2:$A$403)-ROW(INDEX('macs_ips'!$A$2:$A$403,1,1))+1)/('macs_ips'!$E$2:$E$403=$J$1),ROW(A244))),"")</f>
        <v/>
      </c>
      <c r="E246" s="40">
        <f>IFERROR(INDEX('macs_ips'!$E$2:$E$403,AGGREGATE(15,6,(ROW('macs_ips'!$A$2:$A$403)-ROW(INDEX('macs_ips'!$A$2:$A$403,1,1))+1)/('macs_ips'!$E$2:$E$403=$J$1),ROW(A244))),"")</f>
        <v/>
      </c>
      <c r="F246" s="41">
        <f>IFERROR(INDEX('macs_ips'!$F$2:$F$403,AGGREGATE(15,6,(ROW('macs_ips'!$A$2:$A$403)-ROW(INDEX('macs_ips'!$A$2:$A$403,1,1))+1)/('macs_ips'!$E$2:$E$403=$J$1),ROW(A244))),"")</f>
        <v/>
      </c>
      <c r="G246" s="40">
        <f>IFERROR(INDEX('macs_ips'!$G$2:$G$403,AGGREGATE(15,6,(ROW('macs_ips'!$A$2:$A$403)-ROW(INDEX('macs_ips'!$A$2:$A$403,1,1))+1)/('macs_ips'!$E$2:$E$403=$J$1),ROW(A244))),"")</f>
        <v/>
      </c>
    </row>
    <row r="247">
      <c r="A247" s="40">
        <f>IFERROR(INDEX('macs_ips'!$A$2:$A$403,AGGREGATE(15,6,(ROW('macs_ips'!$A$2:$A$403)-ROW(INDEX('macs_ips'!$A$2:$A$403,1,1))+1)/('macs_ips'!$E$2:$E$403=$J$1),ROW(A245))),"")</f>
        <v/>
      </c>
      <c r="B247" s="40">
        <f>IFERROR(INDEX('macs_ips'!$B$2:$B$403,AGGREGATE(15,6,(ROW('macs_ips'!$A$2:$A$403)-ROW(INDEX('macs_ips'!$A$2:$A$403,1,1))+1)/('macs_ips'!$E$2:$E$403=$J$1),ROW(A245))),"")</f>
        <v/>
      </c>
      <c r="C247" s="40">
        <f>IFERROR(INDEX('macs_ips'!$C$2:$C$403,AGGREGATE(15,6,(ROW('macs_ips'!$A$2:$A$403)-ROW(INDEX('macs_ips'!$A$2:$A$403,1,1))+1)/('macs_ips'!$E$2:$E$403=$J$1),ROW(A245))),"")</f>
        <v/>
      </c>
      <c r="D247" s="41">
        <f>IFERROR(INDEX('macs_ips'!$D$2:$D$403,AGGREGATE(15,6,(ROW('macs_ips'!$A$2:$A$403)-ROW(INDEX('macs_ips'!$A$2:$A$403,1,1))+1)/('macs_ips'!$E$2:$E$403=$J$1),ROW(A245))),"")</f>
        <v/>
      </c>
      <c r="E247" s="40">
        <f>IFERROR(INDEX('macs_ips'!$E$2:$E$403,AGGREGATE(15,6,(ROW('macs_ips'!$A$2:$A$403)-ROW(INDEX('macs_ips'!$A$2:$A$403,1,1))+1)/('macs_ips'!$E$2:$E$403=$J$1),ROW(A245))),"")</f>
        <v/>
      </c>
      <c r="F247" s="41">
        <f>IFERROR(INDEX('macs_ips'!$F$2:$F$403,AGGREGATE(15,6,(ROW('macs_ips'!$A$2:$A$403)-ROW(INDEX('macs_ips'!$A$2:$A$403,1,1))+1)/('macs_ips'!$E$2:$E$403=$J$1),ROW(A245))),"")</f>
        <v/>
      </c>
      <c r="G247" s="40">
        <f>IFERROR(INDEX('macs_ips'!$G$2:$G$403,AGGREGATE(15,6,(ROW('macs_ips'!$A$2:$A$403)-ROW(INDEX('macs_ips'!$A$2:$A$403,1,1))+1)/('macs_ips'!$E$2:$E$403=$J$1),ROW(A245))),"")</f>
        <v/>
      </c>
    </row>
    <row r="248">
      <c r="A248" s="40">
        <f>IFERROR(INDEX('macs_ips'!$A$2:$A$403,AGGREGATE(15,6,(ROW('macs_ips'!$A$2:$A$403)-ROW(INDEX('macs_ips'!$A$2:$A$403,1,1))+1)/('macs_ips'!$E$2:$E$403=$J$1),ROW(A246))),"")</f>
        <v/>
      </c>
      <c r="B248" s="40">
        <f>IFERROR(INDEX('macs_ips'!$B$2:$B$403,AGGREGATE(15,6,(ROW('macs_ips'!$A$2:$A$403)-ROW(INDEX('macs_ips'!$A$2:$A$403,1,1))+1)/('macs_ips'!$E$2:$E$403=$J$1),ROW(A246))),"")</f>
        <v/>
      </c>
      <c r="C248" s="40">
        <f>IFERROR(INDEX('macs_ips'!$C$2:$C$403,AGGREGATE(15,6,(ROW('macs_ips'!$A$2:$A$403)-ROW(INDEX('macs_ips'!$A$2:$A$403,1,1))+1)/('macs_ips'!$E$2:$E$403=$J$1),ROW(A246))),"")</f>
        <v/>
      </c>
      <c r="D248" s="41">
        <f>IFERROR(INDEX('macs_ips'!$D$2:$D$403,AGGREGATE(15,6,(ROW('macs_ips'!$A$2:$A$403)-ROW(INDEX('macs_ips'!$A$2:$A$403,1,1))+1)/('macs_ips'!$E$2:$E$403=$J$1),ROW(A246))),"")</f>
        <v/>
      </c>
      <c r="E248" s="40">
        <f>IFERROR(INDEX('macs_ips'!$E$2:$E$403,AGGREGATE(15,6,(ROW('macs_ips'!$A$2:$A$403)-ROW(INDEX('macs_ips'!$A$2:$A$403,1,1))+1)/('macs_ips'!$E$2:$E$403=$J$1),ROW(A246))),"")</f>
        <v/>
      </c>
      <c r="F248" s="41">
        <f>IFERROR(INDEX('macs_ips'!$F$2:$F$403,AGGREGATE(15,6,(ROW('macs_ips'!$A$2:$A$403)-ROW(INDEX('macs_ips'!$A$2:$A$403,1,1))+1)/('macs_ips'!$E$2:$E$403=$J$1),ROW(A246))),"")</f>
        <v/>
      </c>
      <c r="G248" s="40">
        <f>IFERROR(INDEX('macs_ips'!$G$2:$G$403,AGGREGATE(15,6,(ROW('macs_ips'!$A$2:$A$403)-ROW(INDEX('macs_ips'!$A$2:$A$403,1,1))+1)/('macs_ips'!$E$2:$E$403=$J$1),ROW(A246))),"")</f>
        <v/>
      </c>
    </row>
    <row r="249">
      <c r="A249" s="40">
        <f>IFERROR(INDEX('macs_ips'!$A$2:$A$403,AGGREGATE(15,6,(ROW('macs_ips'!$A$2:$A$403)-ROW(INDEX('macs_ips'!$A$2:$A$403,1,1))+1)/('macs_ips'!$E$2:$E$403=$J$1),ROW(A247))),"")</f>
        <v/>
      </c>
      <c r="B249" s="40">
        <f>IFERROR(INDEX('macs_ips'!$B$2:$B$403,AGGREGATE(15,6,(ROW('macs_ips'!$A$2:$A$403)-ROW(INDEX('macs_ips'!$A$2:$A$403,1,1))+1)/('macs_ips'!$E$2:$E$403=$J$1),ROW(A247))),"")</f>
        <v/>
      </c>
      <c r="C249" s="40">
        <f>IFERROR(INDEX('macs_ips'!$C$2:$C$403,AGGREGATE(15,6,(ROW('macs_ips'!$A$2:$A$403)-ROW(INDEX('macs_ips'!$A$2:$A$403,1,1))+1)/('macs_ips'!$E$2:$E$403=$J$1),ROW(A247))),"")</f>
        <v/>
      </c>
      <c r="D249" s="41">
        <f>IFERROR(INDEX('macs_ips'!$D$2:$D$403,AGGREGATE(15,6,(ROW('macs_ips'!$A$2:$A$403)-ROW(INDEX('macs_ips'!$A$2:$A$403,1,1))+1)/('macs_ips'!$E$2:$E$403=$J$1),ROW(A247))),"")</f>
        <v/>
      </c>
      <c r="E249" s="40">
        <f>IFERROR(INDEX('macs_ips'!$E$2:$E$403,AGGREGATE(15,6,(ROW('macs_ips'!$A$2:$A$403)-ROW(INDEX('macs_ips'!$A$2:$A$403,1,1))+1)/('macs_ips'!$E$2:$E$403=$J$1),ROW(A247))),"")</f>
        <v/>
      </c>
      <c r="F249" s="41">
        <f>IFERROR(INDEX('macs_ips'!$F$2:$F$403,AGGREGATE(15,6,(ROW('macs_ips'!$A$2:$A$403)-ROW(INDEX('macs_ips'!$A$2:$A$403,1,1))+1)/('macs_ips'!$E$2:$E$403=$J$1),ROW(A247))),"")</f>
        <v/>
      </c>
      <c r="G249" s="40">
        <f>IFERROR(INDEX('macs_ips'!$G$2:$G$403,AGGREGATE(15,6,(ROW('macs_ips'!$A$2:$A$403)-ROW(INDEX('macs_ips'!$A$2:$A$403,1,1))+1)/('macs_ips'!$E$2:$E$403=$J$1),ROW(A247))),"")</f>
        <v/>
      </c>
    </row>
    <row r="250">
      <c r="A250" s="40">
        <f>IFERROR(INDEX('macs_ips'!$A$2:$A$403,AGGREGATE(15,6,(ROW('macs_ips'!$A$2:$A$403)-ROW(INDEX('macs_ips'!$A$2:$A$403,1,1))+1)/('macs_ips'!$E$2:$E$403=$J$1),ROW(A248))),"")</f>
        <v/>
      </c>
      <c r="B250" s="40">
        <f>IFERROR(INDEX('macs_ips'!$B$2:$B$403,AGGREGATE(15,6,(ROW('macs_ips'!$A$2:$A$403)-ROW(INDEX('macs_ips'!$A$2:$A$403,1,1))+1)/('macs_ips'!$E$2:$E$403=$J$1),ROW(A248))),"")</f>
        <v/>
      </c>
      <c r="C250" s="40">
        <f>IFERROR(INDEX('macs_ips'!$C$2:$C$403,AGGREGATE(15,6,(ROW('macs_ips'!$A$2:$A$403)-ROW(INDEX('macs_ips'!$A$2:$A$403,1,1))+1)/('macs_ips'!$E$2:$E$403=$J$1),ROW(A248))),"")</f>
        <v/>
      </c>
      <c r="D250" s="41">
        <f>IFERROR(INDEX('macs_ips'!$D$2:$D$403,AGGREGATE(15,6,(ROW('macs_ips'!$A$2:$A$403)-ROW(INDEX('macs_ips'!$A$2:$A$403,1,1))+1)/('macs_ips'!$E$2:$E$403=$J$1),ROW(A248))),"")</f>
        <v/>
      </c>
      <c r="E250" s="40">
        <f>IFERROR(INDEX('macs_ips'!$E$2:$E$403,AGGREGATE(15,6,(ROW('macs_ips'!$A$2:$A$403)-ROW(INDEX('macs_ips'!$A$2:$A$403,1,1))+1)/('macs_ips'!$E$2:$E$403=$J$1),ROW(A248))),"")</f>
        <v/>
      </c>
      <c r="F250" s="41">
        <f>IFERROR(INDEX('macs_ips'!$F$2:$F$403,AGGREGATE(15,6,(ROW('macs_ips'!$A$2:$A$403)-ROW(INDEX('macs_ips'!$A$2:$A$403,1,1))+1)/('macs_ips'!$E$2:$E$403=$J$1),ROW(A248))),"")</f>
        <v/>
      </c>
      <c r="G250" s="40">
        <f>IFERROR(INDEX('macs_ips'!$G$2:$G$403,AGGREGATE(15,6,(ROW('macs_ips'!$A$2:$A$403)-ROW(INDEX('macs_ips'!$A$2:$A$403,1,1))+1)/('macs_ips'!$E$2:$E$403=$J$1),ROW(A248))),"")</f>
        <v/>
      </c>
    </row>
    <row r="251">
      <c r="A251" s="40">
        <f>IFERROR(INDEX('macs_ips'!$A$2:$A$403,AGGREGATE(15,6,(ROW('macs_ips'!$A$2:$A$403)-ROW(INDEX('macs_ips'!$A$2:$A$403,1,1))+1)/('macs_ips'!$E$2:$E$403=$J$1),ROW(A249))),"")</f>
        <v/>
      </c>
      <c r="B251" s="40">
        <f>IFERROR(INDEX('macs_ips'!$B$2:$B$403,AGGREGATE(15,6,(ROW('macs_ips'!$A$2:$A$403)-ROW(INDEX('macs_ips'!$A$2:$A$403,1,1))+1)/('macs_ips'!$E$2:$E$403=$J$1),ROW(A249))),"")</f>
        <v/>
      </c>
      <c r="C251" s="40">
        <f>IFERROR(INDEX('macs_ips'!$C$2:$C$403,AGGREGATE(15,6,(ROW('macs_ips'!$A$2:$A$403)-ROW(INDEX('macs_ips'!$A$2:$A$403,1,1))+1)/('macs_ips'!$E$2:$E$403=$J$1),ROW(A249))),"")</f>
        <v/>
      </c>
      <c r="D251" s="41">
        <f>IFERROR(INDEX('macs_ips'!$D$2:$D$403,AGGREGATE(15,6,(ROW('macs_ips'!$A$2:$A$403)-ROW(INDEX('macs_ips'!$A$2:$A$403,1,1))+1)/('macs_ips'!$E$2:$E$403=$J$1),ROW(A249))),"")</f>
        <v/>
      </c>
      <c r="E251" s="40">
        <f>IFERROR(INDEX('macs_ips'!$E$2:$E$403,AGGREGATE(15,6,(ROW('macs_ips'!$A$2:$A$403)-ROW(INDEX('macs_ips'!$A$2:$A$403,1,1))+1)/('macs_ips'!$E$2:$E$403=$J$1),ROW(A249))),"")</f>
        <v/>
      </c>
      <c r="F251" s="41">
        <f>IFERROR(INDEX('macs_ips'!$F$2:$F$403,AGGREGATE(15,6,(ROW('macs_ips'!$A$2:$A$403)-ROW(INDEX('macs_ips'!$A$2:$A$403,1,1))+1)/('macs_ips'!$E$2:$E$403=$J$1),ROW(A249))),"")</f>
        <v/>
      </c>
      <c r="G251" s="40">
        <f>IFERROR(INDEX('macs_ips'!$G$2:$G$403,AGGREGATE(15,6,(ROW('macs_ips'!$A$2:$A$403)-ROW(INDEX('macs_ips'!$A$2:$A$403,1,1))+1)/('macs_ips'!$E$2:$E$403=$J$1),ROW(A249))),"")</f>
        <v/>
      </c>
    </row>
    <row r="252">
      <c r="A252" s="40">
        <f>IFERROR(INDEX('macs_ips'!$A$2:$A$403,AGGREGATE(15,6,(ROW('macs_ips'!$A$2:$A$403)-ROW(INDEX('macs_ips'!$A$2:$A$403,1,1))+1)/('macs_ips'!$E$2:$E$403=$J$1),ROW(A250))),"")</f>
        <v/>
      </c>
      <c r="B252" s="40">
        <f>IFERROR(INDEX('macs_ips'!$B$2:$B$403,AGGREGATE(15,6,(ROW('macs_ips'!$A$2:$A$403)-ROW(INDEX('macs_ips'!$A$2:$A$403,1,1))+1)/('macs_ips'!$E$2:$E$403=$J$1),ROW(A250))),"")</f>
        <v/>
      </c>
      <c r="C252" s="40">
        <f>IFERROR(INDEX('macs_ips'!$C$2:$C$403,AGGREGATE(15,6,(ROW('macs_ips'!$A$2:$A$403)-ROW(INDEX('macs_ips'!$A$2:$A$403,1,1))+1)/('macs_ips'!$E$2:$E$403=$J$1),ROW(A250))),"")</f>
        <v/>
      </c>
      <c r="D252" s="41">
        <f>IFERROR(INDEX('macs_ips'!$D$2:$D$403,AGGREGATE(15,6,(ROW('macs_ips'!$A$2:$A$403)-ROW(INDEX('macs_ips'!$A$2:$A$403,1,1))+1)/('macs_ips'!$E$2:$E$403=$J$1),ROW(A250))),"")</f>
        <v/>
      </c>
      <c r="E252" s="40">
        <f>IFERROR(INDEX('macs_ips'!$E$2:$E$403,AGGREGATE(15,6,(ROW('macs_ips'!$A$2:$A$403)-ROW(INDEX('macs_ips'!$A$2:$A$403,1,1))+1)/('macs_ips'!$E$2:$E$403=$J$1),ROW(A250))),"")</f>
        <v/>
      </c>
      <c r="F252" s="41">
        <f>IFERROR(INDEX('macs_ips'!$F$2:$F$403,AGGREGATE(15,6,(ROW('macs_ips'!$A$2:$A$403)-ROW(INDEX('macs_ips'!$A$2:$A$403,1,1))+1)/('macs_ips'!$E$2:$E$403=$J$1),ROW(A250))),"")</f>
        <v/>
      </c>
      <c r="G252" s="40">
        <f>IFERROR(INDEX('macs_ips'!$G$2:$G$403,AGGREGATE(15,6,(ROW('macs_ips'!$A$2:$A$403)-ROW(INDEX('macs_ips'!$A$2:$A$403,1,1))+1)/('macs_ips'!$E$2:$E$403=$J$1),ROW(A250))),"")</f>
        <v/>
      </c>
    </row>
    <row r="253">
      <c r="A253" s="40">
        <f>IFERROR(INDEX('macs_ips'!$A$2:$A$403,AGGREGATE(15,6,(ROW('macs_ips'!$A$2:$A$403)-ROW(INDEX('macs_ips'!$A$2:$A$403,1,1))+1)/('macs_ips'!$E$2:$E$403=$J$1),ROW(A251))),"")</f>
        <v/>
      </c>
      <c r="B253" s="40">
        <f>IFERROR(INDEX('macs_ips'!$B$2:$B$403,AGGREGATE(15,6,(ROW('macs_ips'!$A$2:$A$403)-ROW(INDEX('macs_ips'!$A$2:$A$403,1,1))+1)/('macs_ips'!$E$2:$E$403=$J$1),ROW(A251))),"")</f>
        <v/>
      </c>
      <c r="C253" s="40">
        <f>IFERROR(INDEX('macs_ips'!$C$2:$C$403,AGGREGATE(15,6,(ROW('macs_ips'!$A$2:$A$403)-ROW(INDEX('macs_ips'!$A$2:$A$403,1,1))+1)/('macs_ips'!$E$2:$E$403=$J$1),ROW(A251))),"")</f>
        <v/>
      </c>
      <c r="D253" s="41">
        <f>IFERROR(INDEX('macs_ips'!$D$2:$D$403,AGGREGATE(15,6,(ROW('macs_ips'!$A$2:$A$403)-ROW(INDEX('macs_ips'!$A$2:$A$403,1,1))+1)/('macs_ips'!$E$2:$E$403=$J$1),ROW(A251))),"")</f>
        <v/>
      </c>
      <c r="E253" s="40">
        <f>IFERROR(INDEX('macs_ips'!$E$2:$E$403,AGGREGATE(15,6,(ROW('macs_ips'!$A$2:$A$403)-ROW(INDEX('macs_ips'!$A$2:$A$403,1,1))+1)/('macs_ips'!$E$2:$E$403=$J$1),ROW(A251))),"")</f>
        <v/>
      </c>
      <c r="F253" s="41">
        <f>IFERROR(INDEX('macs_ips'!$F$2:$F$403,AGGREGATE(15,6,(ROW('macs_ips'!$A$2:$A$403)-ROW(INDEX('macs_ips'!$A$2:$A$403,1,1))+1)/('macs_ips'!$E$2:$E$403=$J$1),ROW(A251))),"")</f>
        <v/>
      </c>
      <c r="G253" s="40">
        <f>IFERROR(INDEX('macs_ips'!$G$2:$G$403,AGGREGATE(15,6,(ROW('macs_ips'!$A$2:$A$403)-ROW(INDEX('macs_ips'!$A$2:$A$403,1,1))+1)/('macs_ips'!$E$2:$E$403=$J$1),ROW(A251))),"")</f>
        <v/>
      </c>
    </row>
    <row r="254">
      <c r="A254" s="40">
        <f>IFERROR(INDEX('macs_ips'!$A$2:$A$403,AGGREGATE(15,6,(ROW('macs_ips'!$A$2:$A$403)-ROW(INDEX('macs_ips'!$A$2:$A$403,1,1))+1)/('macs_ips'!$E$2:$E$403=$J$1),ROW(A252))),"")</f>
        <v/>
      </c>
      <c r="B254" s="40">
        <f>IFERROR(INDEX('macs_ips'!$B$2:$B$403,AGGREGATE(15,6,(ROW('macs_ips'!$A$2:$A$403)-ROW(INDEX('macs_ips'!$A$2:$A$403,1,1))+1)/('macs_ips'!$E$2:$E$403=$J$1),ROW(A252))),"")</f>
        <v/>
      </c>
      <c r="C254" s="40">
        <f>IFERROR(INDEX('macs_ips'!$C$2:$C$403,AGGREGATE(15,6,(ROW('macs_ips'!$A$2:$A$403)-ROW(INDEX('macs_ips'!$A$2:$A$403,1,1))+1)/('macs_ips'!$E$2:$E$403=$J$1),ROW(A252))),"")</f>
        <v/>
      </c>
      <c r="D254" s="41">
        <f>IFERROR(INDEX('macs_ips'!$D$2:$D$403,AGGREGATE(15,6,(ROW('macs_ips'!$A$2:$A$403)-ROW(INDEX('macs_ips'!$A$2:$A$403,1,1))+1)/('macs_ips'!$E$2:$E$403=$J$1),ROW(A252))),"")</f>
        <v/>
      </c>
      <c r="E254" s="40">
        <f>IFERROR(INDEX('macs_ips'!$E$2:$E$403,AGGREGATE(15,6,(ROW('macs_ips'!$A$2:$A$403)-ROW(INDEX('macs_ips'!$A$2:$A$403,1,1))+1)/('macs_ips'!$E$2:$E$403=$J$1),ROW(A252))),"")</f>
        <v/>
      </c>
      <c r="F254" s="41">
        <f>IFERROR(INDEX('macs_ips'!$F$2:$F$403,AGGREGATE(15,6,(ROW('macs_ips'!$A$2:$A$403)-ROW(INDEX('macs_ips'!$A$2:$A$403,1,1))+1)/('macs_ips'!$E$2:$E$403=$J$1),ROW(A252))),"")</f>
        <v/>
      </c>
      <c r="G254" s="40">
        <f>IFERROR(INDEX('macs_ips'!$G$2:$G$403,AGGREGATE(15,6,(ROW('macs_ips'!$A$2:$A$403)-ROW(INDEX('macs_ips'!$A$2:$A$403,1,1))+1)/('macs_ips'!$E$2:$E$403=$J$1),ROW(A252))),"")</f>
        <v/>
      </c>
    </row>
    <row r="255">
      <c r="A255" s="40">
        <f>IFERROR(INDEX('macs_ips'!$A$2:$A$403,AGGREGATE(15,6,(ROW('macs_ips'!$A$2:$A$403)-ROW(INDEX('macs_ips'!$A$2:$A$403,1,1))+1)/('macs_ips'!$E$2:$E$403=$J$1),ROW(A253))),"")</f>
        <v/>
      </c>
      <c r="B255" s="40">
        <f>IFERROR(INDEX('macs_ips'!$B$2:$B$403,AGGREGATE(15,6,(ROW('macs_ips'!$A$2:$A$403)-ROW(INDEX('macs_ips'!$A$2:$A$403,1,1))+1)/('macs_ips'!$E$2:$E$403=$J$1),ROW(A253))),"")</f>
        <v/>
      </c>
      <c r="C255" s="40">
        <f>IFERROR(INDEX('macs_ips'!$C$2:$C$403,AGGREGATE(15,6,(ROW('macs_ips'!$A$2:$A$403)-ROW(INDEX('macs_ips'!$A$2:$A$403,1,1))+1)/('macs_ips'!$E$2:$E$403=$J$1),ROW(A253))),"")</f>
        <v/>
      </c>
      <c r="D255" s="41">
        <f>IFERROR(INDEX('macs_ips'!$D$2:$D$403,AGGREGATE(15,6,(ROW('macs_ips'!$A$2:$A$403)-ROW(INDEX('macs_ips'!$A$2:$A$403,1,1))+1)/('macs_ips'!$E$2:$E$403=$J$1),ROW(A253))),"")</f>
        <v/>
      </c>
      <c r="E255" s="40">
        <f>IFERROR(INDEX('macs_ips'!$E$2:$E$403,AGGREGATE(15,6,(ROW('macs_ips'!$A$2:$A$403)-ROW(INDEX('macs_ips'!$A$2:$A$403,1,1))+1)/('macs_ips'!$E$2:$E$403=$J$1),ROW(A253))),"")</f>
        <v/>
      </c>
      <c r="F255" s="41">
        <f>IFERROR(INDEX('macs_ips'!$F$2:$F$403,AGGREGATE(15,6,(ROW('macs_ips'!$A$2:$A$403)-ROW(INDEX('macs_ips'!$A$2:$A$403,1,1))+1)/('macs_ips'!$E$2:$E$403=$J$1),ROW(A253))),"")</f>
        <v/>
      </c>
      <c r="G255" s="40">
        <f>IFERROR(INDEX('macs_ips'!$G$2:$G$403,AGGREGATE(15,6,(ROW('macs_ips'!$A$2:$A$403)-ROW(INDEX('macs_ips'!$A$2:$A$403,1,1))+1)/('macs_ips'!$E$2:$E$403=$J$1),ROW(A253))),"")</f>
        <v/>
      </c>
    </row>
    <row r="256">
      <c r="A256" s="40">
        <f>IFERROR(INDEX('macs_ips'!$A$2:$A$403,AGGREGATE(15,6,(ROW('macs_ips'!$A$2:$A$403)-ROW(INDEX('macs_ips'!$A$2:$A$403,1,1))+1)/('macs_ips'!$E$2:$E$403=$J$1),ROW(A254))),"")</f>
        <v/>
      </c>
      <c r="B256" s="40">
        <f>IFERROR(INDEX('macs_ips'!$B$2:$B$403,AGGREGATE(15,6,(ROW('macs_ips'!$A$2:$A$403)-ROW(INDEX('macs_ips'!$A$2:$A$403,1,1))+1)/('macs_ips'!$E$2:$E$403=$J$1),ROW(A254))),"")</f>
        <v/>
      </c>
      <c r="C256" s="40">
        <f>IFERROR(INDEX('macs_ips'!$C$2:$C$403,AGGREGATE(15,6,(ROW('macs_ips'!$A$2:$A$403)-ROW(INDEX('macs_ips'!$A$2:$A$403,1,1))+1)/('macs_ips'!$E$2:$E$403=$J$1),ROW(A254))),"")</f>
        <v/>
      </c>
      <c r="D256" s="41">
        <f>IFERROR(INDEX('macs_ips'!$D$2:$D$403,AGGREGATE(15,6,(ROW('macs_ips'!$A$2:$A$403)-ROW(INDEX('macs_ips'!$A$2:$A$403,1,1))+1)/('macs_ips'!$E$2:$E$403=$J$1),ROW(A254))),"")</f>
        <v/>
      </c>
      <c r="E256" s="40">
        <f>IFERROR(INDEX('macs_ips'!$E$2:$E$403,AGGREGATE(15,6,(ROW('macs_ips'!$A$2:$A$403)-ROW(INDEX('macs_ips'!$A$2:$A$403,1,1))+1)/('macs_ips'!$E$2:$E$403=$J$1),ROW(A254))),"")</f>
        <v/>
      </c>
      <c r="F256" s="41">
        <f>IFERROR(INDEX('macs_ips'!$F$2:$F$403,AGGREGATE(15,6,(ROW('macs_ips'!$A$2:$A$403)-ROW(INDEX('macs_ips'!$A$2:$A$403,1,1))+1)/('macs_ips'!$E$2:$E$403=$J$1),ROW(A254))),"")</f>
        <v/>
      </c>
      <c r="G256" s="40">
        <f>IFERROR(INDEX('macs_ips'!$G$2:$G$403,AGGREGATE(15,6,(ROW('macs_ips'!$A$2:$A$403)-ROW(INDEX('macs_ips'!$A$2:$A$403,1,1))+1)/('macs_ips'!$E$2:$E$403=$J$1),ROW(A254))),"")</f>
        <v/>
      </c>
    </row>
    <row r="257">
      <c r="A257" s="40">
        <f>IFERROR(INDEX('macs_ips'!$A$2:$A$403,AGGREGATE(15,6,(ROW('macs_ips'!$A$2:$A$403)-ROW(INDEX('macs_ips'!$A$2:$A$403,1,1))+1)/('macs_ips'!$E$2:$E$403=$J$1),ROW(A255))),"")</f>
        <v/>
      </c>
      <c r="B257" s="40">
        <f>IFERROR(INDEX('macs_ips'!$B$2:$B$403,AGGREGATE(15,6,(ROW('macs_ips'!$A$2:$A$403)-ROW(INDEX('macs_ips'!$A$2:$A$403,1,1))+1)/('macs_ips'!$E$2:$E$403=$J$1),ROW(A255))),"")</f>
        <v/>
      </c>
      <c r="C257" s="40">
        <f>IFERROR(INDEX('macs_ips'!$C$2:$C$403,AGGREGATE(15,6,(ROW('macs_ips'!$A$2:$A$403)-ROW(INDEX('macs_ips'!$A$2:$A$403,1,1))+1)/('macs_ips'!$E$2:$E$403=$J$1),ROW(A255))),"")</f>
        <v/>
      </c>
      <c r="D257" s="41">
        <f>IFERROR(INDEX('macs_ips'!$D$2:$D$403,AGGREGATE(15,6,(ROW('macs_ips'!$A$2:$A$403)-ROW(INDEX('macs_ips'!$A$2:$A$403,1,1))+1)/('macs_ips'!$E$2:$E$403=$J$1),ROW(A255))),"")</f>
        <v/>
      </c>
      <c r="E257" s="40">
        <f>IFERROR(INDEX('macs_ips'!$E$2:$E$403,AGGREGATE(15,6,(ROW('macs_ips'!$A$2:$A$403)-ROW(INDEX('macs_ips'!$A$2:$A$403,1,1))+1)/('macs_ips'!$E$2:$E$403=$J$1),ROW(A255))),"")</f>
        <v/>
      </c>
      <c r="F257" s="41">
        <f>IFERROR(INDEX('macs_ips'!$F$2:$F$403,AGGREGATE(15,6,(ROW('macs_ips'!$A$2:$A$403)-ROW(INDEX('macs_ips'!$A$2:$A$403,1,1))+1)/('macs_ips'!$E$2:$E$403=$J$1),ROW(A255))),"")</f>
        <v/>
      </c>
      <c r="G257" s="40">
        <f>IFERROR(INDEX('macs_ips'!$G$2:$G$403,AGGREGATE(15,6,(ROW('macs_ips'!$A$2:$A$403)-ROW(INDEX('macs_ips'!$A$2:$A$403,1,1))+1)/('macs_ips'!$E$2:$E$403=$J$1),ROW(A255))),"")</f>
        <v/>
      </c>
    </row>
    <row r="258">
      <c r="A258" s="40">
        <f>IFERROR(INDEX('macs_ips'!$A$2:$A$403,AGGREGATE(15,6,(ROW('macs_ips'!$A$2:$A$403)-ROW(INDEX('macs_ips'!$A$2:$A$403,1,1))+1)/('macs_ips'!$E$2:$E$403=$J$1),ROW(A256))),"")</f>
        <v/>
      </c>
      <c r="B258" s="40">
        <f>IFERROR(INDEX('macs_ips'!$B$2:$B$403,AGGREGATE(15,6,(ROW('macs_ips'!$A$2:$A$403)-ROW(INDEX('macs_ips'!$A$2:$A$403,1,1))+1)/('macs_ips'!$E$2:$E$403=$J$1),ROW(A256))),"")</f>
        <v/>
      </c>
      <c r="C258" s="40">
        <f>IFERROR(INDEX('macs_ips'!$C$2:$C$403,AGGREGATE(15,6,(ROW('macs_ips'!$A$2:$A$403)-ROW(INDEX('macs_ips'!$A$2:$A$403,1,1))+1)/('macs_ips'!$E$2:$E$403=$J$1),ROW(A256))),"")</f>
        <v/>
      </c>
      <c r="D258" s="41">
        <f>IFERROR(INDEX('macs_ips'!$D$2:$D$403,AGGREGATE(15,6,(ROW('macs_ips'!$A$2:$A$403)-ROW(INDEX('macs_ips'!$A$2:$A$403,1,1))+1)/('macs_ips'!$E$2:$E$403=$J$1),ROW(A256))),"")</f>
        <v/>
      </c>
      <c r="E258" s="40">
        <f>IFERROR(INDEX('macs_ips'!$E$2:$E$403,AGGREGATE(15,6,(ROW('macs_ips'!$A$2:$A$403)-ROW(INDEX('macs_ips'!$A$2:$A$403,1,1))+1)/('macs_ips'!$E$2:$E$403=$J$1),ROW(A256))),"")</f>
        <v/>
      </c>
      <c r="F258" s="41">
        <f>IFERROR(INDEX('macs_ips'!$F$2:$F$403,AGGREGATE(15,6,(ROW('macs_ips'!$A$2:$A$403)-ROW(INDEX('macs_ips'!$A$2:$A$403,1,1))+1)/('macs_ips'!$E$2:$E$403=$J$1),ROW(A256))),"")</f>
        <v/>
      </c>
      <c r="G258" s="40">
        <f>IFERROR(INDEX('macs_ips'!$G$2:$G$403,AGGREGATE(15,6,(ROW('macs_ips'!$A$2:$A$403)-ROW(INDEX('macs_ips'!$A$2:$A$403,1,1))+1)/('macs_ips'!$E$2:$E$403=$J$1),ROW(A256))),"")</f>
        <v/>
      </c>
    </row>
    <row r="259">
      <c r="A259" s="40">
        <f>IFERROR(INDEX('macs_ips'!$A$2:$A$403,AGGREGATE(15,6,(ROW('macs_ips'!$A$2:$A$403)-ROW(INDEX('macs_ips'!$A$2:$A$403,1,1))+1)/('macs_ips'!$E$2:$E$403=$J$1),ROW(A257))),"")</f>
        <v/>
      </c>
      <c r="B259" s="40">
        <f>IFERROR(INDEX('macs_ips'!$B$2:$B$403,AGGREGATE(15,6,(ROW('macs_ips'!$A$2:$A$403)-ROW(INDEX('macs_ips'!$A$2:$A$403,1,1))+1)/('macs_ips'!$E$2:$E$403=$J$1),ROW(A257))),"")</f>
        <v/>
      </c>
      <c r="C259" s="40">
        <f>IFERROR(INDEX('macs_ips'!$C$2:$C$403,AGGREGATE(15,6,(ROW('macs_ips'!$A$2:$A$403)-ROW(INDEX('macs_ips'!$A$2:$A$403,1,1))+1)/('macs_ips'!$E$2:$E$403=$J$1),ROW(A257))),"")</f>
        <v/>
      </c>
      <c r="D259" s="41">
        <f>IFERROR(INDEX('macs_ips'!$D$2:$D$403,AGGREGATE(15,6,(ROW('macs_ips'!$A$2:$A$403)-ROW(INDEX('macs_ips'!$A$2:$A$403,1,1))+1)/('macs_ips'!$E$2:$E$403=$J$1),ROW(A257))),"")</f>
        <v/>
      </c>
      <c r="E259" s="40">
        <f>IFERROR(INDEX('macs_ips'!$E$2:$E$403,AGGREGATE(15,6,(ROW('macs_ips'!$A$2:$A$403)-ROW(INDEX('macs_ips'!$A$2:$A$403,1,1))+1)/('macs_ips'!$E$2:$E$403=$J$1),ROW(A257))),"")</f>
        <v/>
      </c>
      <c r="F259" s="41">
        <f>IFERROR(INDEX('macs_ips'!$F$2:$F$403,AGGREGATE(15,6,(ROW('macs_ips'!$A$2:$A$403)-ROW(INDEX('macs_ips'!$A$2:$A$403,1,1))+1)/('macs_ips'!$E$2:$E$403=$J$1),ROW(A257))),"")</f>
        <v/>
      </c>
      <c r="G259" s="40">
        <f>IFERROR(INDEX('macs_ips'!$G$2:$G$403,AGGREGATE(15,6,(ROW('macs_ips'!$A$2:$A$403)-ROW(INDEX('macs_ips'!$A$2:$A$403,1,1))+1)/('macs_ips'!$E$2:$E$403=$J$1),ROW(A257))),"")</f>
        <v/>
      </c>
    </row>
    <row r="260">
      <c r="A260" s="40">
        <f>IFERROR(INDEX('macs_ips'!$A$2:$A$403,AGGREGATE(15,6,(ROW('macs_ips'!$A$2:$A$403)-ROW(INDEX('macs_ips'!$A$2:$A$403,1,1))+1)/('macs_ips'!$E$2:$E$403=$J$1),ROW(A258))),"")</f>
        <v/>
      </c>
      <c r="B260" s="40">
        <f>IFERROR(INDEX('macs_ips'!$B$2:$B$403,AGGREGATE(15,6,(ROW('macs_ips'!$A$2:$A$403)-ROW(INDEX('macs_ips'!$A$2:$A$403,1,1))+1)/('macs_ips'!$E$2:$E$403=$J$1),ROW(A258))),"")</f>
        <v/>
      </c>
      <c r="C260" s="40">
        <f>IFERROR(INDEX('macs_ips'!$C$2:$C$403,AGGREGATE(15,6,(ROW('macs_ips'!$A$2:$A$403)-ROW(INDEX('macs_ips'!$A$2:$A$403,1,1))+1)/('macs_ips'!$E$2:$E$403=$J$1),ROW(A258))),"")</f>
        <v/>
      </c>
      <c r="D260" s="41">
        <f>IFERROR(INDEX('macs_ips'!$D$2:$D$403,AGGREGATE(15,6,(ROW('macs_ips'!$A$2:$A$403)-ROW(INDEX('macs_ips'!$A$2:$A$403,1,1))+1)/('macs_ips'!$E$2:$E$403=$J$1),ROW(A258))),"")</f>
        <v/>
      </c>
      <c r="E260" s="40">
        <f>IFERROR(INDEX('macs_ips'!$E$2:$E$403,AGGREGATE(15,6,(ROW('macs_ips'!$A$2:$A$403)-ROW(INDEX('macs_ips'!$A$2:$A$403,1,1))+1)/('macs_ips'!$E$2:$E$403=$J$1),ROW(A258))),"")</f>
        <v/>
      </c>
      <c r="F260" s="41">
        <f>IFERROR(INDEX('macs_ips'!$F$2:$F$403,AGGREGATE(15,6,(ROW('macs_ips'!$A$2:$A$403)-ROW(INDEX('macs_ips'!$A$2:$A$403,1,1))+1)/('macs_ips'!$E$2:$E$403=$J$1),ROW(A258))),"")</f>
        <v/>
      </c>
      <c r="G260" s="40">
        <f>IFERROR(INDEX('macs_ips'!$G$2:$G$403,AGGREGATE(15,6,(ROW('macs_ips'!$A$2:$A$403)-ROW(INDEX('macs_ips'!$A$2:$A$403,1,1))+1)/('macs_ips'!$E$2:$E$403=$J$1),ROW(A258))),"")</f>
        <v/>
      </c>
    </row>
    <row r="261">
      <c r="A261" s="40">
        <f>IFERROR(INDEX('macs_ips'!$A$2:$A$403,AGGREGATE(15,6,(ROW('macs_ips'!$A$2:$A$403)-ROW(INDEX('macs_ips'!$A$2:$A$403,1,1))+1)/('macs_ips'!$E$2:$E$403=$J$1),ROW(A259))),"")</f>
        <v/>
      </c>
      <c r="B261" s="40">
        <f>IFERROR(INDEX('macs_ips'!$B$2:$B$403,AGGREGATE(15,6,(ROW('macs_ips'!$A$2:$A$403)-ROW(INDEX('macs_ips'!$A$2:$A$403,1,1))+1)/('macs_ips'!$E$2:$E$403=$J$1),ROW(A259))),"")</f>
        <v/>
      </c>
      <c r="C261" s="40">
        <f>IFERROR(INDEX('macs_ips'!$C$2:$C$403,AGGREGATE(15,6,(ROW('macs_ips'!$A$2:$A$403)-ROW(INDEX('macs_ips'!$A$2:$A$403,1,1))+1)/('macs_ips'!$E$2:$E$403=$J$1),ROW(A259))),"")</f>
        <v/>
      </c>
      <c r="D261" s="41">
        <f>IFERROR(INDEX('macs_ips'!$D$2:$D$403,AGGREGATE(15,6,(ROW('macs_ips'!$A$2:$A$403)-ROW(INDEX('macs_ips'!$A$2:$A$403,1,1))+1)/('macs_ips'!$E$2:$E$403=$J$1),ROW(A259))),"")</f>
        <v/>
      </c>
      <c r="E261" s="40">
        <f>IFERROR(INDEX('macs_ips'!$E$2:$E$403,AGGREGATE(15,6,(ROW('macs_ips'!$A$2:$A$403)-ROW(INDEX('macs_ips'!$A$2:$A$403,1,1))+1)/('macs_ips'!$E$2:$E$403=$J$1),ROW(A259))),"")</f>
        <v/>
      </c>
      <c r="F261" s="41">
        <f>IFERROR(INDEX('macs_ips'!$F$2:$F$403,AGGREGATE(15,6,(ROW('macs_ips'!$A$2:$A$403)-ROW(INDEX('macs_ips'!$A$2:$A$403,1,1))+1)/('macs_ips'!$E$2:$E$403=$J$1),ROW(A259))),"")</f>
        <v/>
      </c>
      <c r="G261" s="40">
        <f>IFERROR(INDEX('macs_ips'!$G$2:$G$403,AGGREGATE(15,6,(ROW('macs_ips'!$A$2:$A$403)-ROW(INDEX('macs_ips'!$A$2:$A$403,1,1))+1)/('macs_ips'!$E$2:$E$403=$J$1),ROW(A259))),"")</f>
        <v/>
      </c>
    </row>
    <row r="262">
      <c r="A262" s="40">
        <f>IFERROR(INDEX('macs_ips'!$A$2:$A$403,AGGREGATE(15,6,(ROW('macs_ips'!$A$2:$A$403)-ROW(INDEX('macs_ips'!$A$2:$A$403,1,1))+1)/('macs_ips'!$E$2:$E$403=$J$1),ROW(A260))),"")</f>
        <v/>
      </c>
      <c r="B262" s="40">
        <f>IFERROR(INDEX('macs_ips'!$B$2:$B$403,AGGREGATE(15,6,(ROW('macs_ips'!$A$2:$A$403)-ROW(INDEX('macs_ips'!$A$2:$A$403,1,1))+1)/('macs_ips'!$E$2:$E$403=$J$1),ROW(A260))),"")</f>
        <v/>
      </c>
      <c r="C262" s="40">
        <f>IFERROR(INDEX('macs_ips'!$C$2:$C$403,AGGREGATE(15,6,(ROW('macs_ips'!$A$2:$A$403)-ROW(INDEX('macs_ips'!$A$2:$A$403,1,1))+1)/('macs_ips'!$E$2:$E$403=$J$1),ROW(A260))),"")</f>
        <v/>
      </c>
      <c r="D262" s="41">
        <f>IFERROR(INDEX('macs_ips'!$D$2:$D$403,AGGREGATE(15,6,(ROW('macs_ips'!$A$2:$A$403)-ROW(INDEX('macs_ips'!$A$2:$A$403,1,1))+1)/('macs_ips'!$E$2:$E$403=$J$1),ROW(A260))),"")</f>
        <v/>
      </c>
      <c r="E262" s="40">
        <f>IFERROR(INDEX('macs_ips'!$E$2:$E$403,AGGREGATE(15,6,(ROW('macs_ips'!$A$2:$A$403)-ROW(INDEX('macs_ips'!$A$2:$A$403,1,1))+1)/('macs_ips'!$E$2:$E$403=$J$1),ROW(A260))),"")</f>
        <v/>
      </c>
      <c r="F262" s="41">
        <f>IFERROR(INDEX('macs_ips'!$F$2:$F$403,AGGREGATE(15,6,(ROW('macs_ips'!$A$2:$A$403)-ROW(INDEX('macs_ips'!$A$2:$A$403,1,1))+1)/('macs_ips'!$E$2:$E$403=$J$1),ROW(A260))),"")</f>
        <v/>
      </c>
      <c r="G262" s="40">
        <f>IFERROR(INDEX('macs_ips'!$G$2:$G$403,AGGREGATE(15,6,(ROW('macs_ips'!$A$2:$A$403)-ROW(INDEX('macs_ips'!$A$2:$A$403,1,1))+1)/('macs_ips'!$E$2:$E$403=$J$1),ROW(A260))),"")</f>
        <v/>
      </c>
    </row>
    <row r="263">
      <c r="A263" s="40">
        <f>IFERROR(INDEX('macs_ips'!$A$2:$A$403,AGGREGATE(15,6,(ROW('macs_ips'!$A$2:$A$403)-ROW(INDEX('macs_ips'!$A$2:$A$403,1,1))+1)/('macs_ips'!$E$2:$E$403=$J$1),ROW(A261))),"")</f>
        <v/>
      </c>
      <c r="B263" s="40">
        <f>IFERROR(INDEX('macs_ips'!$B$2:$B$403,AGGREGATE(15,6,(ROW('macs_ips'!$A$2:$A$403)-ROW(INDEX('macs_ips'!$A$2:$A$403,1,1))+1)/('macs_ips'!$E$2:$E$403=$J$1),ROW(A261))),"")</f>
        <v/>
      </c>
      <c r="C263" s="40">
        <f>IFERROR(INDEX('macs_ips'!$C$2:$C$403,AGGREGATE(15,6,(ROW('macs_ips'!$A$2:$A$403)-ROW(INDEX('macs_ips'!$A$2:$A$403,1,1))+1)/('macs_ips'!$E$2:$E$403=$J$1),ROW(A261))),"")</f>
        <v/>
      </c>
      <c r="D263" s="41">
        <f>IFERROR(INDEX('macs_ips'!$D$2:$D$403,AGGREGATE(15,6,(ROW('macs_ips'!$A$2:$A$403)-ROW(INDEX('macs_ips'!$A$2:$A$403,1,1))+1)/('macs_ips'!$E$2:$E$403=$J$1),ROW(A261))),"")</f>
        <v/>
      </c>
      <c r="E263" s="40">
        <f>IFERROR(INDEX('macs_ips'!$E$2:$E$403,AGGREGATE(15,6,(ROW('macs_ips'!$A$2:$A$403)-ROW(INDEX('macs_ips'!$A$2:$A$403,1,1))+1)/('macs_ips'!$E$2:$E$403=$J$1),ROW(A261))),"")</f>
        <v/>
      </c>
      <c r="F263" s="41">
        <f>IFERROR(INDEX('macs_ips'!$F$2:$F$403,AGGREGATE(15,6,(ROW('macs_ips'!$A$2:$A$403)-ROW(INDEX('macs_ips'!$A$2:$A$403,1,1))+1)/('macs_ips'!$E$2:$E$403=$J$1),ROW(A261))),"")</f>
        <v/>
      </c>
      <c r="G263" s="40">
        <f>IFERROR(INDEX('macs_ips'!$G$2:$G$403,AGGREGATE(15,6,(ROW('macs_ips'!$A$2:$A$403)-ROW(INDEX('macs_ips'!$A$2:$A$403,1,1))+1)/('macs_ips'!$E$2:$E$403=$J$1),ROW(A261))),"")</f>
        <v/>
      </c>
    </row>
    <row r="264">
      <c r="A264" s="40">
        <f>IFERROR(INDEX('macs_ips'!$A$2:$A$403,AGGREGATE(15,6,(ROW('macs_ips'!$A$2:$A$403)-ROW(INDEX('macs_ips'!$A$2:$A$403,1,1))+1)/('macs_ips'!$E$2:$E$403=$J$1),ROW(A262))),"")</f>
        <v/>
      </c>
      <c r="B264" s="40">
        <f>IFERROR(INDEX('macs_ips'!$B$2:$B$403,AGGREGATE(15,6,(ROW('macs_ips'!$A$2:$A$403)-ROW(INDEX('macs_ips'!$A$2:$A$403,1,1))+1)/('macs_ips'!$E$2:$E$403=$J$1),ROW(A262))),"")</f>
        <v/>
      </c>
      <c r="C264" s="40">
        <f>IFERROR(INDEX('macs_ips'!$C$2:$C$403,AGGREGATE(15,6,(ROW('macs_ips'!$A$2:$A$403)-ROW(INDEX('macs_ips'!$A$2:$A$403,1,1))+1)/('macs_ips'!$E$2:$E$403=$J$1),ROW(A262))),"")</f>
        <v/>
      </c>
      <c r="D264" s="41">
        <f>IFERROR(INDEX('macs_ips'!$D$2:$D$403,AGGREGATE(15,6,(ROW('macs_ips'!$A$2:$A$403)-ROW(INDEX('macs_ips'!$A$2:$A$403,1,1))+1)/('macs_ips'!$E$2:$E$403=$J$1),ROW(A262))),"")</f>
        <v/>
      </c>
      <c r="E264" s="40">
        <f>IFERROR(INDEX('macs_ips'!$E$2:$E$403,AGGREGATE(15,6,(ROW('macs_ips'!$A$2:$A$403)-ROW(INDEX('macs_ips'!$A$2:$A$403,1,1))+1)/('macs_ips'!$E$2:$E$403=$J$1),ROW(A262))),"")</f>
        <v/>
      </c>
      <c r="F264" s="41">
        <f>IFERROR(INDEX('macs_ips'!$F$2:$F$403,AGGREGATE(15,6,(ROW('macs_ips'!$A$2:$A$403)-ROW(INDEX('macs_ips'!$A$2:$A$403,1,1))+1)/('macs_ips'!$E$2:$E$403=$J$1),ROW(A262))),"")</f>
        <v/>
      </c>
      <c r="G264" s="40">
        <f>IFERROR(INDEX('macs_ips'!$G$2:$G$403,AGGREGATE(15,6,(ROW('macs_ips'!$A$2:$A$403)-ROW(INDEX('macs_ips'!$A$2:$A$403,1,1))+1)/('macs_ips'!$E$2:$E$403=$J$1),ROW(A262))),"")</f>
        <v/>
      </c>
    </row>
    <row r="265">
      <c r="A265" s="40">
        <f>IFERROR(INDEX('macs_ips'!$A$2:$A$403,AGGREGATE(15,6,(ROW('macs_ips'!$A$2:$A$403)-ROW(INDEX('macs_ips'!$A$2:$A$403,1,1))+1)/('macs_ips'!$E$2:$E$403=$J$1),ROW(A263))),"")</f>
        <v/>
      </c>
      <c r="B265" s="40">
        <f>IFERROR(INDEX('macs_ips'!$B$2:$B$403,AGGREGATE(15,6,(ROW('macs_ips'!$A$2:$A$403)-ROW(INDEX('macs_ips'!$A$2:$A$403,1,1))+1)/('macs_ips'!$E$2:$E$403=$J$1),ROW(A263))),"")</f>
        <v/>
      </c>
      <c r="C265" s="40">
        <f>IFERROR(INDEX('macs_ips'!$C$2:$C$403,AGGREGATE(15,6,(ROW('macs_ips'!$A$2:$A$403)-ROW(INDEX('macs_ips'!$A$2:$A$403,1,1))+1)/('macs_ips'!$E$2:$E$403=$J$1),ROW(A263))),"")</f>
        <v/>
      </c>
      <c r="D265" s="41">
        <f>IFERROR(INDEX('macs_ips'!$D$2:$D$403,AGGREGATE(15,6,(ROW('macs_ips'!$A$2:$A$403)-ROW(INDEX('macs_ips'!$A$2:$A$403,1,1))+1)/('macs_ips'!$E$2:$E$403=$J$1),ROW(A263))),"")</f>
        <v/>
      </c>
      <c r="E265" s="40">
        <f>IFERROR(INDEX('macs_ips'!$E$2:$E$403,AGGREGATE(15,6,(ROW('macs_ips'!$A$2:$A$403)-ROW(INDEX('macs_ips'!$A$2:$A$403,1,1))+1)/('macs_ips'!$E$2:$E$403=$J$1),ROW(A263))),"")</f>
        <v/>
      </c>
      <c r="F265" s="41">
        <f>IFERROR(INDEX('macs_ips'!$F$2:$F$403,AGGREGATE(15,6,(ROW('macs_ips'!$A$2:$A$403)-ROW(INDEX('macs_ips'!$A$2:$A$403,1,1))+1)/('macs_ips'!$E$2:$E$403=$J$1),ROW(A263))),"")</f>
        <v/>
      </c>
      <c r="G265" s="40">
        <f>IFERROR(INDEX('macs_ips'!$G$2:$G$403,AGGREGATE(15,6,(ROW('macs_ips'!$A$2:$A$403)-ROW(INDEX('macs_ips'!$A$2:$A$403,1,1))+1)/('macs_ips'!$E$2:$E$403=$J$1),ROW(A263))),"")</f>
        <v/>
      </c>
    </row>
    <row r="266">
      <c r="A266" s="40">
        <f>IFERROR(INDEX('macs_ips'!$A$2:$A$403,AGGREGATE(15,6,(ROW('macs_ips'!$A$2:$A$403)-ROW(INDEX('macs_ips'!$A$2:$A$403,1,1))+1)/('macs_ips'!$E$2:$E$403=$J$1),ROW(A264))),"")</f>
        <v/>
      </c>
      <c r="B266" s="40">
        <f>IFERROR(INDEX('macs_ips'!$B$2:$B$403,AGGREGATE(15,6,(ROW('macs_ips'!$A$2:$A$403)-ROW(INDEX('macs_ips'!$A$2:$A$403,1,1))+1)/('macs_ips'!$E$2:$E$403=$J$1),ROW(A264))),"")</f>
        <v/>
      </c>
      <c r="C266" s="40">
        <f>IFERROR(INDEX('macs_ips'!$C$2:$C$403,AGGREGATE(15,6,(ROW('macs_ips'!$A$2:$A$403)-ROW(INDEX('macs_ips'!$A$2:$A$403,1,1))+1)/('macs_ips'!$E$2:$E$403=$J$1),ROW(A264))),"")</f>
        <v/>
      </c>
      <c r="D266" s="41">
        <f>IFERROR(INDEX('macs_ips'!$D$2:$D$403,AGGREGATE(15,6,(ROW('macs_ips'!$A$2:$A$403)-ROW(INDEX('macs_ips'!$A$2:$A$403,1,1))+1)/('macs_ips'!$E$2:$E$403=$J$1),ROW(A264))),"")</f>
        <v/>
      </c>
      <c r="E266" s="40">
        <f>IFERROR(INDEX('macs_ips'!$E$2:$E$403,AGGREGATE(15,6,(ROW('macs_ips'!$A$2:$A$403)-ROW(INDEX('macs_ips'!$A$2:$A$403,1,1))+1)/('macs_ips'!$E$2:$E$403=$J$1),ROW(A264))),"")</f>
        <v/>
      </c>
      <c r="F266" s="41">
        <f>IFERROR(INDEX('macs_ips'!$F$2:$F$403,AGGREGATE(15,6,(ROW('macs_ips'!$A$2:$A$403)-ROW(INDEX('macs_ips'!$A$2:$A$403,1,1))+1)/('macs_ips'!$E$2:$E$403=$J$1),ROW(A264))),"")</f>
        <v/>
      </c>
      <c r="G266" s="40">
        <f>IFERROR(INDEX('macs_ips'!$G$2:$G$403,AGGREGATE(15,6,(ROW('macs_ips'!$A$2:$A$403)-ROW(INDEX('macs_ips'!$A$2:$A$403,1,1))+1)/('macs_ips'!$E$2:$E$403=$J$1),ROW(A264))),"")</f>
        <v/>
      </c>
    </row>
    <row r="267">
      <c r="A267" s="40">
        <f>IFERROR(INDEX('macs_ips'!$A$2:$A$403,AGGREGATE(15,6,(ROW('macs_ips'!$A$2:$A$403)-ROW(INDEX('macs_ips'!$A$2:$A$403,1,1))+1)/('macs_ips'!$E$2:$E$403=$J$1),ROW(A265))),"")</f>
        <v/>
      </c>
      <c r="B267" s="40">
        <f>IFERROR(INDEX('macs_ips'!$B$2:$B$403,AGGREGATE(15,6,(ROW('macs_ips'!$A$2:$A$403)-ROW(INDEX('macs_ips'!$A$2:$A$403,1,1))+1)/('macs_ips'!$E$2:$E$403=$J$1),ROW(A265))),"")</f>
        <v/>
      </c>
      <c r="C267" s="40">
        <f>IFERROR(INDEX('macs_ips'!$C$2:$C$403,AGGREGATE(15,6,(ROW('macs_ips'!$A$2:$A$403)-ROW(INDEX('macs_ips'!$A$2:$A$403,1,1))+1)/('macs_ips'!$E$2:$E$403=$J$1),ROW(A265))),"")</f>
        <v/>
      </c>
      <c r="D267" s="41">
        <f>IFERROR(INDEX('macs_ips'!$D$2:$D$403,AGGREGATE(15,6,(ROW('macs_ips'!$A$2:$A$403)-ROW(INDEX('macs_ips'!$A$2:$A$403,1,1))+1)/('macs_ips'!$E$2:$E$403=$J$1),ROW(A265))),"")</f>
        <v/>
      </c>
      <c r="E267" s="40">
        <f>IFERROR(INDEX('macs_ips'!$E$2:$E$403,AGGREGATE(15,6,(ROW('macs_ips'!$A$2:$A$403)-ROW(INDEX('macs_ips'!$A$2:$A$403,1,1))+1)/('macs_ips'!$E$2:$E$403=$J$1),ROW(A265))),"")</f>
        <v/>
      </c>
      <c r="F267" s="41">
        <f>IFERROR(INDEX('macs_ips'!$F$2:$F$403,AGGREGATE(15,6,(ROW('macs_ips'!$A$2:$A$403)-ROW(INDEX('macs_ips'!$A$2:$A$403,1,1))+1)/('macs_ips'!$E$2:$E$403=$J$1),ROW(A265))),"")</f>
        <v/>
      </c>
      <c r="G267" s="40">
        <f>IFERROR(INDEX('macs_ips'!$G$2:$G$403,AGGREGATE(15,6,(ROW('macs_ips'!$A$2:$A$403)-ROW(INDEX('macs_ips'!$A$2:$A$403,1,1))+1)/('macs_ips'!$E$2:$E$403=$J$1),ROW(A265))),"")</f>
        <v/>
      </c>
    </row>
    <row r="268">
      <c r="A268" s="40">
        <f>IFERROR(INDEX('macs_ips'!$A$2:$A$403,AGGREGATE(15,6,(ROW('macs_ips'!$A$2:$A$403)-ROW(INDEX('macs_ips'!$A$2:$A$403,1,1))+1)/('macs_ips'!$E$2:$E$403=$J$1),ROW(A266))),"")</f>
        <v/>
      </c>
      <c r="B268" s="40">
        <f>IFERROR(INDEX('macs_ips'!$B$2:$B$403,AGGREGATE(15,6,(ROW('macs_ips'!$A$2:$A$403)-ROW(INDEX('macs_ips'!$A$2:$A$403,1,1))+1)/('macs_ips'!$E$2:$E$403=$J$1),ROW(A266))),"")</f>
        <v/>
      </c>
      <c r="C268" s="40">
        <f>IFERROR(INDEX('macs_ips'!$C$2:$C$403,AGGREGATE(15,6,(ROW('macs_ips'!$A$2:$A$403)-ROW(INDEX('macs_ips'!$A$2:$A$403,1,1))+1)/('macs_ips'!$E$2:$E$403=$J$1),ROW(A266))),"")</f>
        <v/>
      </c>
      <c r="D268" s="41">
        <f>IFERROR(INDEX('macs_ips'!$D$2:$D$403,AGGREGATE(15,6,(ROW('macs_ips'!$A$2:$A$403)-ROW(INDEX('macs_ips'!$A$2:$A$403,1,1))+1)/('macs_ips'!$E$2:$E$403=$J$1),ROW(A266))),"")</f>
        <v/>
      </c>
      <c r="E268" s="40">
        <f>IFERROR(INDEX('macs_ips'!$E$2:$E$403,AGGREGATE(15,6,(ROW('macs_ips'!$A$2:$A$403)-ROW(INDEX('macs_ips'!$A$2:$A$403,1,1))+1)/('macs_ips'!$E$2:$E$403=$J$1),ROW(A266))),"")</f>
        <v/>
      </c>
      <c r="F268" s="41">
        <f>IFERROR(INDEX('macs_ips'!$F$2:$F$403,AGGREGATE(15,6,(ROW('macs_ips'!$A$2:$A$403)-ROW(INDEX('macs_ips'!$A$2:$A$403,1,1))+1)/('macs_ips'!$E$2:$E$403=$J$1),ROW(A266))),"")</f>
        <v/>
      </c>
      <c r="G268" s="40">
        <f>IFERROR(INDEX('macs_ips'!$G$2:$G$403,AGGREGATE(15,6,(ROW('macs_ips'!$A$2:$A$403)-ROW(INDEX('macs_ips'!$A$2:$A$403,1,1))+1)/('macs_ips'!$E$2:$E$403=$J$1),ROW(A266))),"")</f>
        <v/>
      </c>
    </row>
    <row r="269">
      <c r="A269" s="40">
        <f>IFERROR(INDEX('macs_ips'!$A$2:$A$403,AGGREGATE(15,6,(ROW('macs_ips'!$A$2:$A$403)-ROW(INDEX('macs_ips'!$A$2:$A$403,1,1))+1)/('macs_ips'!$E$2:$E$403=$J$1),ROW(A267))),"")</f>
        <v/>
      </c>
      <c r="B269" s="40">
        <f>IFERROR(INDEX('macs_ips'!$B$2:$B$403,AGGREGATE(15,6,(ROW('macs_ips'!$A$2:$A$403)-ROW(INDEX('macs_ips'!$A$2:$A$403,1,1))+1)/('macs_ips'!$E$2:$E$403=$J$1),ROW(A267))),"")</f>
        <v/>
      </c>
      <c r="C269" s="40">
        <f>IFERROR(INDEX('macs_ips'!$C$2:$C$403,AGGREGATE(15,6,(ROW('macs_ips'!$A$2:$A$403)-ROW(INDEX('macs_ips'!$A$2:$A$403,1,1))+1)/('macs_ips'!$E$2:$E$403=$J$1),ROW(A267))),"")</f>
        <v/>
      </c>
      <c r="D269" s="41">
        <f>IFERROR(INDEX('macs_ips'!$D$2:$D$403,AGGREGATE(15,6,(ROW('macs_ips'!$A$2:$A$403)-ROW(INDEX('macs_ips'!$A$2:$A$403,1,1))+1)/('macs_ips'!$E$2:$E$403=$J$1),ROW(A267))),"")</f>
        <v/>
      </c>
      <c r="E269" s="40">
        <f>IFERROR(INDEX('macs_ips'!$E$2:$E$403,AGGREGATE(15,6,(ROW('macs_ips'!$A$2:$A$403)-ROW(INDEX('macs_ips'!$A$2:$A$403,1,1))+1)/('macs_ips'!$E$2:$E$403=$J$1),ROW(A267))),"")</f>
        <v/>
      </c>
      <c r="F269" s="41">
        <f>IFERROR(INDEX('macs_ips'!$F$2:$F$403,AGGREGATE(15,6,(ROW('macs_ips'!$A$2:$A$403)-ROW(INDEX('macs_ips'!$A$2:$A$403,1,1))+1)/('macs_ips'!$E$2:$E$403=$J$1),ROW(A267))),"")</f>
        <v/>
      </c>
      <c r="G269" s="40">
        <f>IFERROR(INDEX('macs_ips'!$G$2:$G$403,AGGREGATE(15,6,(ROW('macs_ips'!$A$2:$A$403)-ROW(INDEX('macs_ips'!$A$2:$A$403,1,1))+1)/('macs_ips'!$E$2:$E$403=$J$1),ROW(A267))),"")</f>
        <v/>
      </c>
    </row>
    <row r="270">
      <c r="A270" s="40">
        <f>IFERROR(INDEX('macs_ips'!$A$2:$A$403,AGGREGATE(15,6,(ROW('macs_ips'!$A$2:$A$403)-ROW(INDEX('macs_ips'!$A$2:$A$403,1,1))+1)/('macs_ips'!$E$2:$E$403=$J$1),ROW(A268))),"")</f>
        <v/>
      </c>
      <c r="B270" s="40">
        <f>IFERROR(INDEX('macs_ips'!$B$2:$B$403,AGGREGATE(15,6,(ROW('macs_ips'!$A$2:$A$403)-ROW(INDEX('macs_ips'!$A$2:$A$403,1,1))+1)/('macs_ips'!$E$2:$E$403=$J$1),ROW(A268))),"")</f>
        <v/>
      </c>
      <c r="C270" s="40">
        <f>IFERROR(INDEX('macs_ips'!$C$2:$C$403,AGGREGATE(15,6,(ROW('macs_ips'!$A$2:$A$403)-ROW(INDEX('macs_ips'!$A$2:$A$403,1,1))+1)/('macs_ips'!$E$2:$E$403=$J$1),ROW(A268))),"")</f>
        <v/>
      </c>
      <c r="D270" s="41">
        <f>IFERROR(INDEX('macs_ips'!$D$2:$D$403,AGGREGATE(15,6,(ROW('macs_ips'!$A$2:$A$403)-ROW(INDEX('macs_ips'!$A$2:$A$403,1,1))+1)/('macs_ips'!$E$2:$E$403=$J$1),ROW(A268))),"")</f>
        <v/>
      </c>
      <c r="E270" s="40">
        <f>IFERROR(INDEX('macs_ips'!$E$2:$E$403,AGGREGATE(15,6,(ROW('macs_ips'!$A$2:$A$403)-ROW(INDEX('macs_ips'!$A$2:$A$403,1,1))+1)/('macs_ips'!$E$2:$E$403=$J$1),ROW(A268))),"")</f>
        <v/>
      </c>
      <c r="F270" s="41">
        <f>IFERROR(INDEX('macs_ips'!$F$2:$F$403,AGGREGATE(15,6,(ROW('macs_ips'!$A$2:$A$403)-ROW(INDEX('macs_ips'!$A$2:$A$403,1,1))+1)/('macs_ips'!$E$2:$E$403=$J$1),ROW(A268))),"")</f>
        <v/>
      </c>
      <c r="G270" s="40">
        <f>IFERROR(INDEX('macs_ips'!$G$2:$G$403,AGGREGATE(15,6,(ROW('macs_ips'!$A$2:$A$403)-ROW(INDEX('macs_ips'!$A$2:$A$403,1,1))+1)/('macs_ips'!$E$2:$E$403=$J$1),ROW(A268))),"")</f>
        <v/>
      </c>
    </row>
    <row r="271">
      <c r="A271" s="40">
        <f>IFERROR(INDEX('macs_ips'!$A$2:$A$403,AGGREGATE(15,6,(ROW('macs_ips'!$A$2:$A$403)-ROW(INDEX('macs_ips'!$A$2:$A$403,1,1))+1)/('macs_ips'!$E$2:$E$403=$J$1),ROW(A269))),"")</f>
        <v/>
      </c>
      <c r="B271" s="40">
        <f>IFERROR(INDEX('macs_ips'!$B$2:$B$403,AGGREGATE(15,6,(ROW('macs_ips'!$A$2:$A$403)-ROW(INDEX('macs_ips'!$A$2:$A$403,1,1))+1)/('macs_ips'!$E$2:$E$403=$J$1),ROW(A269))),"")</f>
        <v/>
      </c>
      <c r="C271" s="40">
        <f>IFERROR(INDEX('macs_ips'!$C$2:$C$403,AGGREGATE(15,6,(ROW('macs_ips'!$A$2:$A$403)-ROW(INDEX('macs_ips'!$A$2:$A$403,1,1))+1)/('macs_ips'!$E$2:$E$403=$J$1),ROW(A269))),"")</f>
        <v/>
      </c>
      <c r="D271" s="41">
        <f>IFERROR(INDEX('macs_ips'!$D$2:$D$403,AGGREGATE(15,6,(ROW('macs_ips'!$A$2:$A$403)-ROW(INDEX('macs_ips'!$A$2:$A$403,1,1))+1)/('macs_ips'!$E$2:$E$403=$J$1),ROW(A269))),"")</f>
        <v/>
      </c>
      <c r="E271" s="40">
        <f>IFERROR(INDEX('macs_ips'!$E$2:$E$403,AGGREGATE(15,6,(ROW('macs_ips'!$A$2:$A$403)-ROW(INDEX('macs_ips'!$A$2:$A$403,1,1))+1)/('macs_ips'!$E$2:$E$403=$J$1),ROW(A269))),"")</f>
        <v/>
      </c>
      <c r="F271" s="41">
        <f>IFERROR(INDEX('macs_ips'!$F$2:$F$403,AGGREGATE(15,6,(ROW('macs_ips'!$A$2:$A$403)-ROW(INDEX('macs_ips'!$A$2:$A$403,1,1))+1)/('macs_ips'!$E$2:$E$403=$J$1),ROW(A269))),"")</f>
        <v/>
      </c>
      <c r="G271" s="40">
        <f>IFERROR(INDEX('macs_ips'!$G$2:$G$403,AGGREGATE(15,6,(ROW('macs_ips'!$A$2:$A$403)-ROW(INDEX('macs_ips'!$A$2:$A$403,1,1))+1)/('macs_ips'!$E$2:$E$403=$J$1),ROW(A269))),"")</f>
        <v/>
      </c>
    </row>
    <row r="272">
      <c r="A272" s="40">
        <f>IFERROR(INDEX('macs_ips'!$A$2:$A$403,AGGREGATE(15,6,(ROW('macs_ips'!$A$2:$A$403)-ROW(INDEX('macs_ips'!$A$2:$A$403,1,1))+1)/('macs_ips'!$E$2:$E$403=$J$1),ROW(A270))),"")</f>
        <v/>
      </c>
      <c r="B272" s="40">
        <f>IFERROR(INDEX('macs_ips'!$B$2:$B$403,AGGREGATE(15,6,(ROW('macs_ips'!$A$2:$A$403)-ROW(INDEX('macs_ips'!$A$2:$A$403,1,1))+1)/('macs_ips'!$E$2:$E$403=$J$1),ROW(A270))),"")</f>
        <v/>
      </c>
      <c r="C272" s="40">
        <f>IFERROR(INDEX('macs_ips'!$C$2:$C$403,AGGREGATE(15,6,(ROW('macs_ips'!$A$2:$A$403)-ROW(INDEX('macs_ips'!$A$2:$A$403,1,1))+1)/('macs_ips'!$E$2:$E$403=$J$1),ROW(A270))),"")</f>
        <v/>
      </c>
      <c r="D272" s="41">
        <f>IFERROR(INDEX('macs_ips'!$D$2:$D$403,AGGREGATE(15,6,(ROW('macs_ips'!$A$2:$A$403)-ROW(INDEX('macs_ips'!$A$2:$A$403,1,1))+1)/('macs_ips'!$E$2:$E$403=$J$1),ROW(A270))),"")</f>
        <v/>
      </c>
      <c r="E272" s="40">
        <f>IFERROR(INDEX('macs_ips'!$E$2:$E$403,AGGREGATE(15,6,(ROW('macs_ips'!$A$2:$A$403)-ROW(INDEX('macs_ips'!$A$2:$A$403,1,1))+1)/('macs_ips'!$E$2:$E$403=$J$1),ROW(A270))),"")</f>
        <v/>
      </c>
      <c r="F272" s="41">
        <f>IFERROR(INDEX('macs_ips'!$F$2:$F$403,AGGREGATE(15,6,(ROW('macs_ips'!$A$2:$A$403)-ROW(INDEX('macs_ips'!$A$2:$A$403,1,1))+1)/('macs_ips'!$E$2:$E$403=$J$1),ROW(A270))),"")</f>
        <v/>
      </c>
      <c r="G272" s="40">
        <f>IFERROR(INDEX('macs_ips'!$G$2:$G$403,AGGREGATE(15,6,(ROW('macs_ips'!$A$2:$A$403)-ROW(INDEX('macs_ips'!$A$2:$A$403,1,1))+1)/('macs_ips'!$E$2:$E$403=$J$1),ROW(A270))),"")</f>
        <v/>
      </c>
    </row>
    <row r="273">
      <c r="A273" s="40">
        <f>IFERROR(INDEX('macs_ips'!$A$2:$A$403,AGGREGATE(15,6,(ROW('macs_ips'!$A$2:$A$403)-ROW(INDEX('macs_ips'!$A$2:$A$403,1,1))+1)/('macs_ips'!$E$2:$E$403=$J$1),ROW(A271))),"")</f>
        <v/>
      </c>
      <c r="B273" s="40">
        <f>IFERROR(INDEX('macs_ips'!$B$2:$B$403,AGGREGATE(15,6,(ROW('macs_ips'!$A$2:$A$403)-ROW(INDEX('macs_ips'!$A$2:$A$403,1,1))+1)/('macs_ips'!$E$2:$E$403=$J$1),ROW(A271))),"")</f>
        <v/>
      </c>
      <c r="C273" s="40">
        <f>IFERROR(INDEX('macs_ips'!$C$2:$C$403,AGGREGATE(15,6,(ROW('macs_ips'!$A$2:$A$403)-ROW(INDEX('macs_ips'!$A$2:$A$403,1,1))+1)/('macs_ips'!$E$2:$E$403=$J$1),ROW(A271))),"")</f>
        <v/>
      </c>
      <c r="D273" s="41">
        <f>IFERROR(INDEX('macs_ips'!$D$2:$D$403,AGGREGATE(15,6,(ROW('macs_ips'!$A$2:$A$403)-ROW(INDEX('macs_ips'!$A$2:$A$403,1,1))+1)/('macs_ips'!$E$2:$E$403=$J$1),ROW(A271))),"")</f>
        <v/>
      </c>
      <c r="E273" s="40">
        <f>IFERROR(INDEX('macs_ips'!$E$2:$E$403,AGGREGATE(15,6,(ROW('macs_ips'!$A$2:$A$403)-ROW(INDEX('macs_ips'!$A$2:$A$403,1,1))+1)/('macs_ips'!$E$2:$E$403=$J$1),ROW(A271))),"")</f>
        <v/>
      </c>
      <c r="F273" s="41">
        <f>IFERROR(INDEX('macs_ips'!$F$2:$F$403,AGGREGATE(15,6,(ROW('macs_ips'!$A$2:$A$403)-ROW(INDEX('macs_ips'!$A$2:$A$403,1,1))+1)/('macs_ips'!$E$2:$E$403=$J$1),ROW(A271))),"")</f>
        <v/>
      </c>
      <c r="G273" s="40">
        <f>IFERROR(INDEX('macs_ips'!$G$2:$G$403,AGGREGATE(15,6,(ROW('macs_ips'!$A$2:$A$403)-ROW(INDEX('macs_ips'!$A$2:$A$403,1,1))+1)/('macs_ips'!$E$2:$E$403=$J$1),ROW(A271))),"")</f>
        <v/>
      </c>
    </row>
    <row r="274">
      <c r="A274" s="40">
        <f>IFERROR(INDEX('macs_ips'!$A$2:$A$403,AGGREGATE(15,6,(ROW('macs_ips'!$A$2:$A$403)-ROW(INDEX('macs_ips'!$A$2:$A$403,1,1))+1)/('macs_ips'!$E$2:$E$403=$J$1),ROW(A272))),"")</f>
        <v/>
      </c>
      <c r="B274" s="40">
        <f>IFERROR(INDEX('macs_ips'!$B$2:$B$403,AGGREGATE(15,6,(ROW('macs_ips'!$A$2:$A$403)-ROW(INDEX('macs_ips'!$A$2:$A$403,1,1))+1)/('macs_ips'!$E$2:$E$403=$J$1),ROW(A272))),"")</f>
        <v/>
      </c>
      <c r="C274" s="40">
        <f>IFERROR(INDEX('macs_ips'!$C$2:$C$403,AGGREGATE(15,6,(ROW('macs_ips'!$A$2:$A$403)-ROW(INDEX('macs_ips'!$A$2:$A$403,1,1))+1)/('macs_ips'!$E$2:$E$403=$J$1),ROW(A272))),"")</f>
        <v/>
      </c>
      <c r="D274" s="41">
        <f>IFERROR(INDEX('macs_ips'!$D$2:$D$403,AGGREGATE(15,6,(ROW('macs_ips'!$A$2:$A$403)-ROW(INDEX('macs_ips'!$A$2:$A$403,1,1))+1)/('macs_ips'!$E$2:$E$403=$J$1),ROW(A272))),"")</f>
        <v/>
      </c>
      <c r="E274" s="40">
        <f>IFERROR(INDEX('macs_ips'!$E$2:$E$403,AGGREGATE(15,6,(ROW('macs_ips'!$A$2:$A$403)-ROW(INDEX('macs_ips'!$A$2:$A$403,1,1))+1)/('macs_ips'!$E$2:$E$403=$J$1),ROW(A272))),"")</f>
        <v/>
      </c>
      <c r="F274" s="41">
        <f>IFERROR(INDEX('macs_ips'!$F$2:$F$403,AGGREGATE(15,6,(ROW('macs_ips'!$A$2:$A$403)-ROW(INDEX('macs_ips'!$A$2:$A$403,1,1))+1)/('macs_ips'!$E$2:$E$403=$J$1),ROW(A272))),"")</f>
        <v/>
      </c>
      <c r="G274" s="40">
        <f>IFERROR(INDEX('macs_ips'!$G$2:$G$403,AGGREGATE(15,6,(ROW('macs_ips'!$A$2:$A$403)-ROW(INDEX('macs_ips'!$A$2:$A$403,1,1))+1)/('macs_ips'!$E$2:$E$403=$J$1),ROW(A272))),"")</f>
        <v/>
      </c>
    </row>
    <row r="275">
      <c r="A275" s="40">
        <f>IFERROR(INDEX('macs_ips'!$A$2:$A$403,AGGREGATE(15,6,(ROW('macs_ips'!$A$2:$A$403)-ROW(INDEX('macs_ips'!$A$2:$A$403,1,1))+1)/('macs_ips'!$E$2:$E$403=$J$1),ROW(A273))),"")</f>
        <v/>
      </c>
      <c r="B275" s="40">
        <f>IFERROR(INDEX('macs_ips'!$B$2:$B$403,AGGREGATE(15,6,(ROW('macs_ips'!$A$2:$A$403)-ROW(INDEX('macs_ips'!$A$2:$A$403,1,1))+1)/('macs_ips'!$E$2:$E$403=$J$1),ROW(A273))),"")</f>
        <v/>
      </c>
      <c r="C275" s="40">
        <f>IFERROR(INDEX('macs_ips'!$C$2:$C$403,AGGREGATE(15,6,(ROW('macs_ips'!$A$2:$A$403)-ROW(INDEX('macs_ips'!$A$2:$A$403,1,1))+1)/('macs_ips'!$E$2:$E$403=$J$1),ROW(A273))),"")</f>
        <v/>
      </c>
      <c r="D275" s="41">
        <f>IFERROR(INDEX('macs_ips'!$D$2:$D$403,AGGREGATE(15,6,(ROW('macs_ips'!$A$2:$A$403)-ROW(INDEX('macs_ips'!$A$2:$A$403,1,1))+1)/('macs_ips'!$E$2:$E$403=$J$1),ROW(A273))),"")</f>
        <v/>
      </c>
      <c r="E275" s="40">
        <f>IFERROR(INDEX('macs_ips'!$E$2:$E$403,AGGREGATE(15,6,(ROW('macs_ips'!$A$2:$A$403)-ROW(INDEX('macs_ips'!$A$2:$A$403,1,1))+1)/('macs_ips'!$E$2:$E$403=$J$1),ROW(A273))),"")</f>
        <v/>
      </c>
      <c r="F275" s="41">
        <f>IFERROR(INDEX('macs_ips'!$F$2:$F$403,AGGREGATE(15,6,(ROW('macs_ips'!$A$2:$A$403)-ROW(INDEX('macs_ips'!$A$2:$A$403,1,1))+1)/('macs_ips'!$E$2:$E$403=$J$1),ROW(A273))),"")</f>
        <v/>
      </c>
      <c r="G275" s="40">
        <f>IFERROR(INDEX('macs_ips'!$G$2:$G$403,AGGREGATE(15,6,(ROW('macs_ips'!$A$2:$A$403)-ROW(INDEX('macs_ips'!$A$2:$A$403,1,1))+1)/('macs_ips'!$E$2:$E$403=$J$1),ROW(A273))),"")</f>
        <v/>
      </c>
    </row>
    <row r="276">
      <c r="A276" s="40">
        <f>IFERROR(INDEX('macs_ips'!$A$2:$A$403,AGGREGATE(15,6,(ROW('macs_ips'!$A$2:$A$403)-ROW(INDEX('macs_ips'!$A$2:$A$403,1,1))+1)/('macs_ips'!$E$2:$E$403=$J$1),ROW(A274))),"")</f>
        <v/>
      </c>
      <c r="B276" s="40">
        <f>IFERROR(INDEX('macs_ips'!$B$2:$B$403,AGGREGATE(15,6,(ROW('macs_ips'!$A$2:$A$403)-ROW(INDEX('macs_ips'!$A$2:$A$403,1,1))+1)/('macs_ips'!$E$2:$E$403=$J$1),ROW(A274))),"")</f>
        <v/>
      </c>
      <c r="C276" s="40">
        <f>IFERROR(INDEX('macs_ips'!$C$2:$C$403,AGGREGATE(15,6,(ROW('macs_ips'!$A$2:$A$403)-ROW(INDEX('macs_ips'!$A$2:$A$403,1,1))+1)/('macs_ips'!$E$2:$E$403=$J$1),ROW(A274))),"")</f>
        <v/>
      </c>
      <c r="D276" s="41">
        <f>IFERROR(INDEX('macs_ips'!$D$2:$D$403,AGGREGATE(15,6,(ROW('macs_ips'!$A$2:$A$403)-ROW(INDEX('macs_ips'!$A$2:$A$403,1,1))+1)/('macs_ips'!$E$2:$E$403=$J$1),ROW(A274))),"")</f>
        <v/>
      </c>
      <c r="E276" s="40">
        <f>IFERROR(INDEX('macs_ips'!$E$2:$E$403,AGGREGATE(15,6,(ROW('macs_ips'!$A$2:$A$403)-ROW(INDEX('macs_ips'!$A$2:$A$403,1,1))+1)/('macs_ips'!$E$2:$E$403=$J$1),ROW(A274))),"")</f>
        <v/>
      </c>
      <c r="F276" s="41">
        <f>IFERROR(INDEX('macs_ips'!$F$2:$F$403,AGGREGATE(15,6,(ROW('macs_ips'!$A$2:$A$403)-ROW(INDEX('macs_ips'!$A$2:$A$403,1,1))+1)/('macs_ips'!$E$2:$E$403=$J$1),ROW(A274))),"")</f>
        <v/>
      </c>
      <c r="G276" s="40">
        <f>IFERROR(INDEX('macs_ips'!$G$2:$G$403,AGGREGATE(15,6,(ROW('macs_ips'!$A$2:$A$403)-ROW(INDEX('macs_ips'!$A$2:$A$403,1,1))+1)/('macs_ips'!$E$2:$E$403=$J$1),ROW(A274))),"")</f>
        <v/>
      </c>
    </row>
    <row r="277">
      <c r="A277" s="40">
        <f>IFERROR(INDEX('macs_ips'!$A$2:$A$403,AGGREGATE(15,6,(ROW('macs_ips'!$A$2:$A$403)-ROW(INDEX('macs_ips'!$A$2:$A$403,1,1))+1)/('macs_ips'!$E$2:$E$403=$J$1),ROW(A275))),"")</f>
        <v/>
      </c>
      <c r="B277" s="40">
        <f>IFERROR(INDEX('macs_ips'!$B$2:$B$403,AGGREGATE(15,6,(ROW('macs_ips'!$A$2:$A$403)-ROW(INDEX('macs_ips'!$A$2:$A$403,1,1))+1)/('macs_ips'!$E$2:$E$403=$J$1),ROW(A275))),"")</f>
        <v/>
      </c>
      <c r="C277" s="40">
        <f>IFERROR(INDEX('macs_ips'!$C$2:$C$403,AGGREGATE(15,6,(ROW('macs_ips'!$A$2:$A$403)-ROW(INDEX('macs_ips'!$A$2:$A$403,1,1))+1)/('macs_ips'!$E$2:$E$403=$J$1),ROW(A275))),"")</f>
        <v/>
      </c>
      <c r="D277" s="41">
        <f>IFERROR(INDEX('macs_ips'!$D$2:$D$403,AGGREGATE(15,6,(ROW('macs_ips'!$A$2:$A$403)-ROW(INDEX('macs_ips'!$A$2:$A$403,1,1))+1)/('macs_ips'!$E$2:$E$403=$J$1),ROW(A275))),"")</f>
        <v/>
      </c>
      <c r="E277" s="40">
        <f>IFERROR(INDEX('macs_ips'!$E$2:$E$403,AGGREGATE(15,6,(ROW('macs_ips'!$A$2:$A$403)-ROW(INDEX('macs_ips'!$A$2:$A$403,1,1))+1)/('macs_ips'!$E$2:$E$403=$J$1),ROW(A275))),"")</f>
        <v/>
      </c>
      <c r="F277" s="41">
        <f>IFERROR(INDEX('macs_ips'!$F$2:$F$403,AGGREGATE(15,6,(ROW('macs_ips'!$A$2:$A$403)-ROW(INDEX('macs_ips'!$A$2:$A$403,1,1))+1)/('macs_ips'!$E$2:$E$403=$J$1),ROW(A275))),"")</f>
        <v/>
      </c>
      <c r="G277" s="40">
        <f>IFERROR(INDEX('macs_ips'!$G$2:$G$403,AGGREGATE(15,6,(ROW('macs_ips'!$A$2:$A$403)-ROW(INDEX('macs_ips'!$A$2:$A$403,1,1))+1)/('macs_ips'!$E$2:$E$403=$J$1),ROW(A275))),"")</f>
        <v/>
      </c>
    </row>
    <row r="278">
      <c r="A278" s="40">
        <f>IFERROR(INDEX('macs_ips'!$A$2:$A$403,AGGREGATE(15,6,(ROW('macs_ips'!$A$2:$A$403)-ROW(INDEX('macs_ips'!$A$2:$A$403,1,1))+1)/('macs_ips'!$E$2:$E$403=$J$1),ROW(A276))),"")</f>
        <v/>
      </c>
      <c r="B278" s="40">
        <f>IFERROR(INDEX('macs_ips'!$B$2:$B$403,AGGREGATE(15,6,(ROW('macs_ips'!$A$2:$A$403)-ROW(INDEX('macs_ips'!$A$2:$A$403,1,1))+1)/('macs_ips'!$E$2:$E$403=$J$1),ROW(A276))),"")</f>
        <v/>
      </c>
      <c r="C278" s="40">
        <f>IFERROR(INDEX('macs_ips'!$C$2:$C$403,AGGREGATE(15,6,(ROW('macs_ips'!$A$2:$A$403)-ROW(INDEX('macs_ips'!$A$2:$A$403,1,1))+1)/('macs_ips'!$E$2:$E$403=$J$1),ROW(A276))),"")</f>
        <v/>
      </c>
      <c r="D278" s="41">
        <f>IFERROR(INDEX('macs_ips'!$D$2:$D$403,AGGREGATE(15,6,(ROW('macs_ips'!$A$2:$A$403)-ROW(INDEX('macs_ips'!$A$2:$A$403,1,1))+1)/('macs_ips'!$E$2:$E$403=$J$1),ROW(A276))),"")</f>
        <v/>
      </c>
      <c r="E278" s="40">
        <f>IFERROR(INDEX('macs_ips'!$E$2:$E$403,AGGREGATE(15,6,(ROW('macs_ips'!$A$2:$A$403)-ROW(INDEX('macs_ips'!$A$2:$A$403,1,1))+1)/('macs_ips'!$E$2:$E$403=$J$1),ROW(A276))),"")</f>
        <v/>
      </c>
      <c r="F278" s="41">
        <f>IFERROR(INDEX('macs_ips'!$F$2:$F$403,AGGREGATE(15,6,(ROW('macs_ips'!$A$2:$A$403)-ROW(INDEX('macs_ips'!$A$2:$A$403,1,1))+1)/('macs_ips'!$E$2:$E$403=$J$1),ROW(A276))),"")</f>
        <v/>
      </c>
      <c r="G278" s="40">
        <f>IFERROR(INDEX('macs_ips'!$G$2:$G$403,AGGREGATE(15,6,(ROW('macs_ips'!$A$2:$A$403)-ROW(INDEX('macs_ips'!$A$2:$A$403,1,1))+1)/('macs_ips'!$E$2:$E$403=$J$1),ROW(A276))),"")</f>
        <v/>
      </c>
    </row>
    <row r="279">
      <c r="A279" s="40">
        <f>IFERROR(INDEX('macs_ips'!$A$2:$A$403,AGGREGATE(15,6,(ROW('macs_ips'!$A$2:$A$403)-ROW(INDEX('macs_ips'!$A$2:$A$403,1,1))+1)/('macs_ips'!$E$2:$E$403=$J$1),ROW(A277))),"")</f>
        <v/>
      </c>
      <c r="B279" s="40">
        <f>IFERROR(INDEX('macs_ips'!$B$2:$B$403,AGGREGATE(15,6,(ROW('macs_ips'!$A$2:$A$403)-ROW(INDEX('macs_ips'!$A$2:$A$403,1,1))+1)/('macs_ips'!$E$2:$E$403=$J$1),ROW(A277))),"")</f>
        <v/>
      </c>
      <c r="C279" s="40">
        <f>IFERROR(INDEX('macs_ips'!$C$2:$C$403,AGGREGATE(15,6,(ROW('macs_ips'!$A$2:$A$403)-ROW(INDEX('macs_ips'!$A$2:$A$403,1,1))+1)/('macs_ips'!$E$2:$E$403=$J$1),ROW(A277))),"")</f>
        <v/>
      </c>
      <c r="D279" s="41">
        <f>IFERROR(INDEX('macs_ips'!$D$2:$D$403,AGGREGATE(15,6,(ROW('macs_ips'!$A$2:$A$403)-ROW(INDEX('macs_ips'!$A$2:$A$403,1,1))+1)/('macs_ips'!$E$2:$E$403=$J$1),ROW(A277))),"")</f>
        <v/>
      </c>
      <c r="E279" s="40">
        <f>IFERROR(INDEX('macs_ips'!$E$2:$E$403,AGGREGATE(15,6,(ROW('macs_ips'!$A$2:$A$403)-ROW(INDEX('macs_ips'!$A$2:$A$403,1,1))+1)/('macs_ips'!$E$2:$E$403=$J$1),ROW(A277))),"")</f>
        <v/>
      </c>
      <c r="F279" s="41">
        <f>IFERROR(INDEX('macs_ips'!$F$2:$F$403,AGGREGATE(15,6,(ROW('macs_ips'!$A$2:$A$403)-ROW(INDEX('macs_ips'!$A$2:$A$403,1,1))+1)/('macs_ips'!$E$2:$E$403=$J$1),ROW(A277))),"")</f>
        <v/>
      </c>
      <c r="G279" s="40">
        <f>IFERROR(INDEX('macs_ips'!$G$2:$G$403,AGGREGATE(15,6,(ROW('macs_ips'!$A$2:$A$403)-ROW(INDEX('macs_ips'!$A$2:$A$403,1,1))+1)/('macs_ips'!$E$2:$E$403=$J$1),ROW(A277))),"")</f>
        <v/>
      </c>
    </row>
    <row r="280">
      <c r="A280" s="40">
        <f>IFERROR(INDEX('macs_ips'!$A$2:$A$403,AGGREGATE(15,6,(ROW('macs_ips'!$A$2:$A$403)-ROW(INDEX('macs_ips'!$A$2:$A$403,1,1))+1)/('macs_ips'!$E$2:$E$403=$J$1),ROW(A278))),"")</f>
        <v/>
      </c>
      <c r="B280" s="40">
        <f>IFERROR(INDEX('macs_ips'!$B$2:$B$403,AGGREGATE(15,6,(ROW('macs_ips'!$A$2:$A$403)-ROW(INDEX('macs_ips'!$A$2:$A$403,1,1))+1)/('macs_ips'!$E$2:$E$403=$J$1),ROW(A278))),"")</f>
        <v/>
      </c>
      <c r="C280" s="40">
        <f>IFERROR(INDEX('macs_ips'!$C$2:$C$403,AGGREGATE(15,6,(ROW('macs_ips'!$A$2:$A$403)-ROW(INDEX('macs_ips'!$A$2:$A$403,1,1))+1)/('macs_ips'!$E$2:$E$403=$J$1),ROW(A278))),"")</f>
        <v/>
      </c>
      <c r="D280" s="41">
        <f>IFERROR(INDEX('macs_ips'!$D$2:$D$403,AGGREGATE(15,6,(ROW('macs_ips'!$A$2:$A$403)-ROW(INDEX('macs_ips'!$A$2:$A$403,1,1))+1)/('macs_ips'!$E$2:$E$403=$J$1),ROW(A278))),"")</f>
        <v/>
      </c>
      <c r="E280" s="40">
        <f>IFERROR(INDEX('macs_ips'!$E$2:$E$403,AGGREGATE(15,6,(ROW('macs_ips'!$A$2:$A$403)-ROW(INDEX('macs_ips'!$A$2:$A$403,1,1))+1)/('macs_ips'!$E$2:$E$403=$J$1),ROW(A278))),"")</f>
        <v/>
      </c>
      <c r="F280" s="41">
        <f>IFERROR(INDEX('macs_ips'!$F$2:$F$403,AGGREGATE(15,6,(ROW('macs_ips'!$A$2:$A$403)-ROW(INDEX('macs_ips'!$A$2:$A$403,1,1))+1)/('macs_ips'!$E$2:$E$403=$J$1),ROW(A278))),"")</f>
        <v/>
      </c>
      <c r="G280" s="40">
        <f>IFERROR(INDEX('macs_ips'!$G$2:$G$403,AGGREGATE(15,6,(ROW('macs_ips'!$A$2:$A$403)-ROW(INDEX('macs_ips'!$A$2:$A$403,1,1))+1)/('macs_ips'!$E$2:$E$403=$J$1),ROW(A278))),"")</f>
        <v/>
      </c>
    </row>
    <row r="281">
      <c r="A281" s="40">
        <f>IFERROR(INDEX('macs_ips'!$A$2:$A$403,AGGREGATE(15,6,(ROW('macs_ips'!$A$2:$A$403)-ROW(INDEX('macs_ips'!$A$2:$A$403,1,1))+1)/('macs_ips'!$E$2:$E$403=$J$1),ROW(A279))),"")</f>
        <v/>
      </c>
      <c r="B281" s="40">
        <f>IFERROR(INDEX('macs_ips'!$B$2:$B$403,AGGREGATE(15,6,(ROW('macs_ips'!$A$2:$A$403)-ROW(INDEX('macs_ips'!$A$2:$A$403,1,1))+1)/('macs_ips'!$E$2:$E$403=$J$1),ROW(A279))),"")</f>
        <v/>
      </c>
      <c r="C281" s="40">
        <f>IFERROR(INDEX('macs_ips'!$C$2:$C$403,AGGREGATE(15,6,(ROW('macs_ips'!$A$2:$A$403)-ROW(INDEX('macs_ips'!$A$2:$A$403,1,1))+1)/('macs_ips'!$E$2:$E$403=$J$1),ROW(A279))),"")</f>
        <v/>
      </c>
      <c r="D281" s="41">
        <f>IFERROR(INDEX('macs_ips'!$D$2:$D$403,AGGREGATE(15,6,(ROW('macs_ips'!$A$2:$A$403)-ROW(INDEX('macs_ips'!$A$2:$A$403,1,1))+1)/('macs_ips'!$E$2:$E$403=$J$1),ROW(A279))),"")</f>
        <v/>
      </c>
      <c r="E281" s="40">
        <f>IFERROR(INDEX('macs_ips'!$E$2:$E$403,AGGREGATE(15,6,(ROW('macs_ips'!$A$2:$A$403)-ROW(INDEX('macs_ips'!$A$2:$A$403,1,1))+1)/('macs_ips'!$E$2:$E$403=$J$1),ROW(A279))),"")</f>
        <v/>
      </c>
      <c r="F281" s="41">
        <f>IFERROR(INDEX('macs_ips'!$F$2:$F$403,AGGREGATE(15,6,(ROW('macs_ips'!$A$2:$A$403)-ROW(INDEX('macs_ips'!$A$2:$A$403,1,1))+1)/('macs_ips'!$E$2:$E$403=$J$1),ROW(A279))),"")</f>
        <v/>
      </c>
      <c r="G281" s="40">
        <f>IFERROR(INDEX('macs_ips'!$G$2:$G$403,AGGREGATE(15,6,(ROW('macs_ips'!$A$2:$A$403)-ROW(INDEX('macs_ips'!$A$2:$A$403,1,1))+1)/('macs_ips'!$E$2:$E$403=$J$1),ROW(A279))),"")</f>
        <v/>
      </c>
    </row>
    <row r="282">
      <c r="A282" s="40">
        <f>IFERROR(INDEX('macs_ips'!$A$2:$A$403,AGGREGATE(15,6,(ROW('macs_ips'!$A$2:$A$403)-ROW(INDEX('macs_ips'!$A$2:$A$403,1,1))+1)/('macs_ips'!$E$2:$E$403=$J$1),ROW(A280))),"")</f>
        <v/>
      </c>
      <c r="B282" s="40">
        <f>IFERROR(INDEX('macs_ips'!$B$2:$B$403,AGGREGATE(15,6,(ROW('macs_ips'!$A$2:$A$403)-ROW(INDEX('macs_ips'!$A$2:$A$403,1,1))+1)/('macs_ips'!$E$2:$E$403=$J$1),ROW(A280))),"")</f>
        <v/>
      </c>
      <c r="C282" s="40">
        <f>IFERROR(INDEX('macs_ips'!$C$2:$C$403,AGGREGATE(15,6,(ROW('macs_ips'!$A$2:$A$403)-ROW(INDEX('macs_ips'!$A$2:$A$403,1,1))+1)/('macs_ips'!$E$2:$E$403=$J$1),ROW(A280))),"")</f>
        <v/>
      </c>
      <c r="D282" s="41">
        <f>IFERROR(INDEX('macs_ips'!$D$2:$D$403,AGGREGATE(15,6,(ROW('macs_ips'!$A$2:$A$403)-ROW(INDEX('macs_ips'!$A$2:$A$403,1,1))+1)/('macs_ips'!$E$2:$E$403=$J$1),ROW(A280))),"")</f>
        <v/>
      </c>
      <c r="E282" s="40">
        <f>IFERROR(INDEX('macs_ips'!$E$2:$E$403,AGGREGATE(15,6,(ROW('macs_ips'!$A$2:$A$403)-ROW(INDEX('macs_ips'!$A$2:$A$403,1,1))+1)/('macs_ips'!$E$2:$E$403=$J$1),ROW(A280))),"")</f>
        <v/>
      </c>
      <c r="F282" s="41">
        <f>IFERROR(INDEX('macs_ips'!$F$2:$F$403,AGGREGATE(15,6,(ROW('macs_ips'!$A$2:$A$403)-ROW(INDEX('macs_ips'!$A$2:$A$403,1,1))+1)/('macs_ips'!$E$2:$E$403=$J$1),ROW(A280))),"")</f>
        <v/>
      </c>
      <c r="G282" s="40">
        <f>IFERROR(INDEX('macs_ips'!$G$2:$G$403,AGGREGATE(15,6,(ROW('macs_ips'!$A$2:$A$403)-ROW(INDEX('macs_ips'!$A$2:$A$403,1,1))+1)/('macs_ips'!$E$2:$E$403=$J$1),ROW(A280))),"")</f>
        <v/>
      </c>
    </row>
    <row r="283">
      <c r="A283" s="40">
        <f>IFERROR(INDEX('macs_ips'!$A$2:$A$403,AGGREGATE(15,6,(ROW('macs_ips'!$A$2:$A$403)-ROW(INDEX('macs_ips'!$A$2:$A$403,1,1))+1)/('macs_ips'!$E$2:$E$403=$J$1),ROW(A281))),"")</f>
        <v/>
      </c>
      <c r="B283" s="40">
        <f>IFERROR(INDEX('macs_ips'!$B$2:$B$403,AGGREGATE(15,6,(ROW('macs_ips'!$A$2:$A$403)-ROW(INDEX('macs_ips'!$A$2:$A$403,1,1))+1)/('macs_ips'!$E$2:$E$403=$J$1),ROW(A281))),"")</f>
        <v/>
      </c>
      <c r="C283" s="40">
        <f>IFERROR(INDEX('macs_ips'!$C$2:$C$403,AGGREGATE(15,6,(ROW('macs_ips'!$A$2:$A$403)-ROW(INDEX('macs_ips'!$A$2:$A$403,1,1))+1)/('macs_ips'!$E$2:$E$403=$J$1),ROW(A281))),"")</f>
        <v/>
      </c>
      <c r="D283" s="41">
        <f>IFERROR(INDEX('macs_ips'!$D$2:$D$403,AGGREGATE(15,6,(ROW('macs_ips'!$A$2:$A$403)-ROW(INDEX('macs_ips'!$A$2:$A$403,1,1))+1)/('macs_ips'!$E$2:$E$403=$J$1),ROW(A281))),"")</f>
        <v/>
      </c>
      <c r="E283" s="40">
        <f>IFERROR(INDEX('macs_ips'!$E$2:$E$403,AGGREGATE(15,6,(ROW('macs_ips'!$A$2:$A$403)-ROW(INDEX('macs_ips'!$A$2:$A$403,1,1))+1)/('macs_ips'!$E$2:$E$403=$J$1),ROW(A281))),"")</f>
        <v/>
      </c>
      <c r="F283" s="41">
        <f>IFERROR(INDEX('macs_ips'!$F$2:$F$403,AGGREGATE(15,6,(ROW('macs_ips'!$A$2:$A$403)-ROW(INDEX('macs_ips'!$A$2:$A$403,1,1))+1)/('macs_ips'!$E$2:$E$403=$J$1),ROW(A281))),"")</f>
        <v/>
      </c>
      <c r="G283" s="40">
        <f>IFERROR(INDEX('macs_ips'!$G$2:$G$403,AGGREGATE(15,6,(ROW('macs_ips'!$A$2:$A$403)-ROW(INDEX('macs_ips'!$A$2:$A$403,1,1))+1)/('macs_ips'!$E$2:$E$403=$J$1),ROW(A281))),"")</f>
        <v/>
      </c>
    </row>
    <row r="284">
      <c r="A284" s="40">
        <f>IFERROR(INDEX('macs_ips'!$A$2:$A$403,AGGREGATE(15,6,(ROW('macs_ips'!$A$2:$A$403)-ROW(INDEX('macs_ips'!$A$2:$A$403,1,1))+1)/('macs_ips'!$E$2:$E$403=$J$1),ROW(A282))),"")</f>
        <v/>
      </c>
      <c r="B284" s="40">
        <f>IFERROR(INDEX('macs_ips'!$B$2:$B$403,AGGREGATE(15,6,(ROW('macs_ips'!$A$2:$A$403)-ROW(INDEX('macs_ips'!$A$2:$A$403,1,1))+1)/('macs_ips'!$E$2:$E$403=$J$1),ROW(A282))),"")</f>
        <v/>
      </c>
      <c r="C284" s="40">
        <f>IFERROR(INDEX('macs_ips'!$C$2:$C$403,AGGREGATE(15,6,(ROW('macs_ips'!$A$2:$A$403)-ROW(INDEX('macs_ips'!$A$2:$A$403,1,1))+1)/('macs_ips'!$E$2:$E$403=$J$1),ROW(A282))),"")</f>
        <v/>
      </c>
      <c r="D284" s="41">
        <f>IFERROR(INDEX('macs_ips'!$D$2:$D$403,AGGREGATE(15,6,(ROW('macs_ips'!$A$2:$A$403)-ROW(INDEX('macs_ips'!$A$2:$A$403,1,1))+1)/('macs_ips'!$E$2:$E$403=$J$1),ROW(A282))),"")</f>
        <v/>
      </c>
      <c r="E284" s="40">
        <f>IFERROR(INDEX('macs_ips'!$E$2:$E$403,AGGREGATE(15,6,(ROW('macs_ips'!$A$2:$A$403)-ROW(INDEX('macs_ips'!$A$2:$A$403,1,1))+1)/('macs_ips'!$E$2:$E$403=$J$1),ROW(A282))),"")</f>
        <v/>
      </c>
      <c r="F284" s="41">
        <f>IFERROR(INDEX('macs_ips'!$F$2:$F$403,AGGREGATE(15,6,(ROW('macs_ips'!$A$2:$A$403)-ROW(INDEX('macs_ips'!$A$2:$A$403,1,1))+1)/('macs_ips'!$E$2:$E$403=$J$1),ROW(A282))),"")</f>
        <v/>
      </c>
      <c r="G284" s="40">
        <f>IFERROR(INDEX('macs_ips'!$G$2:$G$403,AGGREGATE(15,6,(ROW('macs_ips'!$A$2:$A$403)-ROW(INDEX('macs_ips'!$A$2:$A$403,1,1))+1)/('macs_ips'!$E$2:$E$403=$J$1),ROW(A282))),"")</f>
        <v/>
      </c>
    </row>
    <row r="285">
      <c r="A285" s="40">
        <f>IFERROR(INDEX('macs_ips'!$A$2:$A$403,AGGREGATE(15,6,(ROW('macs_ips'!$A$2:$A$403)-ROW(INDEX('macs_ips'!$A$2:$A$403,1,1))+1)/('macs_ips'!$E$2:$E$403=$J$1),ROW(A283))),"")</f>
        <v/>
      </c>
      <c r="B285" s="40">
        <f>IFERROR(INDEX('macs_ips'!$B$2:$B$403,AGGREGATE(15,6,(ROW('macs_ips'!$A$2:$A$403)-ROW(INDEX('macs_ips'!$A$2:$A$403,1,1))+1)/('macs_ips'!$E$2:$E$403=$J$1),ROW(A283))),"")</f>
        <v/>
      </c>
      <c r="C285" s="40">
        <f>IFERROR(INDEX('macs_ips'!$C$2:$C$403,AGGREGATE(15,6,(ROW('macs_ips'!$A$2:$A$403)-ROW(INDEX('macs_ips'!$A$2:$A$403,1,1))+1)/('macs_ips'!$E$2:$E$403=$J$1),ROW(A283))),"")</f>
        <v/>
      </c>
      <c r="D285" s="41">
        <f>IFERROR(INDEX('macs_ips'!$D$2:$D$403,AGGREGATE(15,6,(ROW('macs_ips'!$A$2:$A$403)-ROW(INDEX('macs_ips'!$A$2:$A$403,1,1))+1)/('macs_ips'!$E$2:$E$403=$J$1),ROW(A283))),"")</f>
        <v/>
      </c>
      <c r="E285" s="40">
        <f>IFERROR(INDEX('macs_ips'!$E$2:$E$403,AGGREGATE(15,6,(ROW('macs_ips'!$A$2:$A$403)-ROW(INDEX('macs_ips'!$A$2:$A$403,1,1))+1)/('macs_ips'!$E$2:$E$403=$J$1),ROW(A283))),"")</f>
        <v/>
      </c>
      <c r="F285" s="41">
        <f>IFERROR(INDEX('macs_ips'!$F$2:$F$403,AGGREGATE(15,6,(ROW('macs_ips'!$A$2:$A$403)-ROW(INDEX('macs_ips'!$A$2:$A$403,1,1))+1)/('macs_ips'!$E$2:$E$403=$J$1),ROW(A283))),"")</f>
        <v/>
      </c>
      <c r="G285" s="40">
        <f>IFERROR(INDEX('macs_ips'!$G$2:$G$403,AGGREGATE(15,6,(ROW('macs_ips'!$A$2:$A$403)-ROW(INDEX('macs_ips'!$A$2:$A$403,1,1))+1)/('macs_ips'!$E$2:$E$403=$J$1),ROW(A283))),"")</f>
        <v/>
      </c>
    </row>
    <row r="286">
      <c r="A286" s="40">
        <f>IFERROR(INDEX('macs_ips'!$A$2:$A$403,AGGREGATE(15,6,(ROW('macs_ips'!$A$2:$A$403)-ROW(INDEX('macs_ips'!$A$2:$A$403,1,1))+1)/('macs_ips'!$E$2:$E$403=$J$1),ROW(A284))),"")</f>
        <v/>
      </c>
      <c r="B286" s="40">
        <f>IFERROR(INDEX('macs_ips'!$B$2:$B$403,AGGREGATE(15,6,(ROW('macs_ips'!$A$2:$A$403)-ROW(INDEX('macs_ips'!$A$2:$A$403,1,1))+1)/('macs_ips'!$E$2:$E$403=$J$1),ROW(A284))),"")</f>
        <v/>
      </c>
      <c r="C286" s="40">
        <f>IFERROR(INDEX('macs_ips'!$C$2:$C$403,AGGREGATE(15,6,(ROW('macs_ips'!$A$2:$A$403)-ROW(INDEX('macs_ips'!$A$2:$A$403,1,1))+1)/('macs_ips'!$E$2:$E$403=$J$1),ROW(A284))),"")</f>
        <v/>
      </c>
      <c r="D286" s="41">
        <f>IFERROR(INDEX('macs_ips'!$D$2:$D$403,AGGREGATE(15,6,(ROW('macs_ips'!$A$2:$A$403)-ROW(INDEX('macs_ips'!$A$2:$A$403,1,1))+1)/('macs_ips'!$E$2:$E$403=$J$1),ROW(A284))),"")</f>
        <v/>
      </c>
      <c r="E286" s="40">
        <f>IFERROR(INDEX('macs_ips'!$E$2:$E$403,AGGREGATE(15,6,(ROW('macs_ips'!$A$2:$A$403)-ROW(INDEX('macs_ips'!$A$2:$A$403,1,1))+1)/('macs_ips'!$E$2:$E$403=$J$1),ROW(A284))),"")</f>
        <v/>
      </c>
      <c r="F286" s="41">
        <f>IFERROR(INDEX('macs_ips'!$F$2:$F$403,AGGREGATE(15,6,(ROW('macs_ips'!$A$2:$A$403)-ROW(INDEX('macs_ips'!$A$2:$A$403,1,1))+1)/('macs_ips'!$E$2:$E$403=$J$1),ROW(A284))),"")</f>
        <v/>
      </c>
      <c r="G286" s="40">
        <f>IFERROR(INDEX('macs_ips'!$G$2:$G$403,AGGREGATE(15,6,(ROW('macs_ips'!$A$2:$A$403)-ROW(INDEX('macs_ips'!$A$2:$A$403,1,1))+1)/('macs_ips'!$E$2:$E$403=$J$1),ROW(A284))),"")</f>
        <v/>
      </c>
    </row>
    <row r="287">
      <c r="A287" s="40">
        <f>IFERROR(INDEX('macs_ips'!$A$2:$A$403,AGGREGATE(15,6,(ROW('macs_ips'!$A$2:$A$403)-ROW(INDEX('macs_ips'!$A$2:$A$403,1,1))+1)/('macs_ips'!$E$2:$E$403=$J$1),ROW(A285))),"")</f>
        <v/>
      </c>
      <c r="B287" s="40">
        <f>IFERROR(INDEX('macs_ips'!$B$2:$B$403,AGGREGATE(15,6,(ROW('macs_ips'!$A$2:$A$403)-ROW(INDEX('macs_ips'!$A$2:$A$403,1,1))+1)/('macs_ips'!$E$2:$E$403=$J$1),ROW(A285))),"")</f>
        <v/>
      </c>
      <c r="C287" s="40">
        <f>IFERROR(INDEX('macs_ips'!$C$2:$C$403,AGGREGATE(15,6,(ROW('macs_ips'!$A$2:$A$403)-ROW(INDEX('macs_ips'!$A$2:$A$403,1,1))+1)/('macs_ips'!$E$2:$E$403=$J$1),ROW(A285))),"")</f>
        <v/>
      </c>
      <c r="D287" s="41">
        <f>IFERROR(INDEX('macs_ips'!$D$2:$D$403,AGGREGATE(15,6,(ROW('macs_ips'!$A$2:$A$403)-ROW(INDEX('macs_ips'!$A$2:$A$403,1,1))+1)/('macs_ips'!$E$2:$E$403=$J$1),ROW(A285))),"")</f>
        <v/>
      </c>
      <c r="E287" s="40">
        <f>IFERROR(INDEX('macs_ips'!$E$2:$E$403,AGGREGATE(15,6,(ROW('macs_ips'!$A$2:$A$403)-ROW(INDEX('macs_ips'!$A$2:$A$403,1,1))+1)/('macs_ips'!$E$2:$E$403=$J$1),ROW(A285))),"")</f>
        <v/>
      </c>
      <c r="F287" s="41">
        <f>IFERROR(INDEX('macs_ips'!$F$2:$F$403,AGGREGATE(15,6,(ROW('macs_ips'!$A$2:$A$403)-ROW(INDEX('macs_ips'!$A$2:$A$403,1,1))+1)/('macs_ips'!$E$2:$E$403=$J$1),ROW(A285))),"")</f>
        <v/>
      </c>
      <c r="G287" s="40">
        <f>IFERROR(INDEX('macs_ips'!$G$2:$G$403,AGGREGATE(15,6,(ROW('macs_ips'!$A$2:$A$403)-ROW(INDEX('macs_ips'!$A$2:$A$403,1,1))+1)/('macs_ips'!$E$2:$E$403=$J$1),ROW(A285))),"")</f>
        <v/>
      </c>
    </row>
    <row r="288">
      <c r="A288" s="40">
        <f>IFERROR(INDEX('macs_ips'!$A$2:$A$403,AGGREGATE(15,6,(ROW('macs_ips'!$A$2:$A$403)-ROW(INDEX('macs_ips'!$A$2:$A$403,1,1))+1)/('macs_ips'!$E$2:$E$403=$J$1),ROW(A286))),"")</f>
        <v/>
      </c>
      <c r="B288" s="40">
        <f>IFERROR(INDEX('macs_ips'!$B$2:$B$403,AGGREGATE(15,6,(ROW('macs_ips'!$A$2:$A$403)-ROW(INDEX('macs_ips'!$A$2:$A$403,1,1))+1)/('macs_ips'!$E$2:$E$403=$J$1),ROW(A286))),"")</f>
        <v/>
      </c>
      <c r="C288" s="40">
        <f>IFERROR(INDEX('macs_ips'!$C$2:$C$403,AGGREGATE(15,6,(ROW('macs_ips'!$A$2:$A$403)-ROW(INDEX('macs_ips'!$A$2:$A$403,1,1))+1)/('macs_ips'!$E$2:$E$403=$J$1),ROW(A286))),"")</f>
        <v/>
      </c>
      <c r="D288" s="41">
        <f>IFERROR(INDEX('macs_ips'!$D$2:$D$403,AGGREGATE(15,6,(ROW('macs_ips'!$A$2:$A$403)-ROW(INDEX('macs_ips'!$A$2:$A$403,1,1))+1)/('macs_ips'!$E$2:$E$403=$J$1),ROW(A286))),"")</f>
        <v/>
      </c>
      <c r="E288" s="40">
        <f>IFERROR(INDEX('macs_ips'!$E$2:$E$403,AGGREGATE(15,6,(ROW('macs_ips'!$A$2:$A$403)-ROW(INDEX('macs_ips'!$A$2:$A$403,1,1))+1)/('macs_ips'!$E$2:$E$403=$J$1),ROW(A286))),"")</f>
        <v/>
      </c>
      <c r="F288" s="41">
        <f>IFERROR(INDEX('macs_ips'!$F$2:$F$403,AGGREGATE(15,6,(ROW('macs_ips'!$A$2:$A$403)-ROW(INDEX('macs_ips'!$A$2:$A$403,1,1))+1)/('macs_ips'!$E$2:$E$403=$J$1),ROW(A286))),"")</f>
        <v/>
      </c>
      <c r="G288" s="40">
        <f>IFERROR(INDEX('macs_ips'!$G$2:$G$403,AGGREGATE(15,6,(ROW('macs_ips'!$A$2:$A$403)-ROW(INDEX('macs_ips'!$A$2:$A$403,1,1))+1)/('macs_ips'!$E$2:$E$403=$J$1),ROW(A286))),"")</f>
        <v/>
      </c>
    </row>
    <row r="289">
      <c r="A289" s="40">
        <f>IFERROR(INDEX('macs_ips'!$A$2:$A$403,AGGREGATE(15,6,(ROW('macs_ips'!$A$2:$A$403)-ROW(INDEX('macs_ips'!$A$2:$A$403,1,1))+1)/('macs_ips'!$E$2:$E$403=$J$1),ROW(A287))),"")</f>
        <v/>
      </c>
      <c r="B289" s="40">
        <f>IFERROR(INDEX('macs_ips'!$B$2:$B$403,AGGREGATE(15,6,(ROW('macs_ips'!$A$2:$A$403)-ROW(INDEX('macs_ips'!$A$2:$A$403,1,1))+1)/('macs_ips'!$E$2:$E$403=$J$1),ROW(A287))),"")</f>
        <v/>
      </c>
      <c r="C289" s="40">
        <f>IFERROR(INDEX('macs_ips'!$C$2:$C$403,AGGREGATE(15,6,(ROW('macs_ips'!$A$2:$A$403)-ROW(INDEX('macs_ips'!$A$2:$A$403,1,1))+1)/('macs_ips'!$E$2:$E$403=$J$1),ROW(A287))),"")</f>
        <v/>
      </c>
      <c r="D289" s="41">
        <f>IFERROR(INDEX('macs_ips'!$D$2:$D$403,AGGREGATE(15,6,(ROW('macs_ips'!$A$2:$A$403)-ROW(INDEX('macs_ips'!$A$2:$A$403,1,1))+1)/('macs_ips'!$E$2:$E$403=$J$1),ROW(A287))),"")</f>
        <v/>
      </c>
      <c r="E289" s="40">
        <f>IFERROR(INDEX('macs_ips'!$E$2:$E$403,AGGREGATE(15,6,(ROW('macs_ips'!$A$2:$A$403)-ROW(INDEX('macs_ips'!$A$2:$A$403,1,1))+1)/('macs_ips'!$E$2:$E$403=$J$1),ROW(A287))),"")</f>
        <v/>
      </c>
      <c r="F289" s="41">
        <f>IFERROR(INDEX('macs_ips'!$F$2:$F$403,AGGREGATE(15,6,(ROW('macs_ips'!$A$2:$A$403)-ROW(INDEX('macs_ips'!$A$2:$A$403,1,1))+1)/('macs_ips'!$E$2:$E$403=$J$1),ROW(A287))),"")</f>
        <v/>
      </c>
      <c r="G289" s="40">
        <f>IFERROR(INDEX('macs_ips'!$G$2:$G$403,AGGREGATE(15,6,(ROW('macs_ips'!$A$2:$A$403)-ROW(INDEX('macs_ips'!$A$2:$A$403,1,1))+1)/('macs_ips'!$E$2:$E$403=$J$1),ROW(A287))),"")</f>
        <v/>
      </c>
    </row>
    <row r="290">
      <c r="A290" s="40">
        <f>IFERROR(INDEX('macs_ips'!$A$2:$A$403,AGGREGATE(15,6,(ROW('macs_ips'!$A$2:$A$403)-ROW(INDEX('macs_ips'!$A$2:$A$403,1,1))+1)/('macs_ips'!$E$2:$E$403=$J$1),ROW(A288))),"")</f>
        <v/>
      </c>
      <c r="B290" s="40">
        <f>IFERROR(INDEX('macs_ips'!$B$2:$B$403,AGGREGATE(15,6,(ROW('macs_ips'!$A$2:$A$403)-ROW(INDEX('macs_ips'!$A$2:$A$403,1,1))+1)/('macs_ips'!$E$2:$E$403=$J$1),ROW(A288))),"")</f>
        <v/>
      </c>
      <c r="C290" s="40">
        <f>IFERROR(INDEX('macs_ips'!$C$2:$C$403,AGGREGATE(15,6,(ROW('macs_ips'!$A$2:$A$403)-ROW(INDEX('macs_ips'!$A$2:$A$403,1,1))+1)/('macs_ips'!$E$2:$E$403=$J$1),ROW(A288))),"")</f>
        <v/>
      </c>
      <c r="D290" s="41">
        <f>IFERROR(INDEX('macs_ips'!$D$2:$D$403,AGGREGATE(15,6,(ROW('macs_ips'!$A$2:$A$403)-ROW(INDEX('macs_ips'!$A$2:$A$403,1,1))+1)/('macs_ips'!$E$2:$E$403=$J$1),ROW(A288))),"")</f>
        <v/>
      </c>
      <c r="E290" s="40">
        <f>IFERROR(INDEX('macs_ips'!$E$2:$E$403,AGGREGATE(15,6,(ROW('macs_ips'!$A$2:$A$403)-ROW(INDEX('macs_ips'!$A$2:$A$403,1,1))+1)/('macs_ips'!$E$2:$E$403=$J$1),ROW(A288))),"")</f>
        <v/>
      </c>
      <c r="F290" s="41">
        <f>IFERROR(INDEX('macs_ips'!$F$2:$F$403,AGGREGATE(15,6,(ROW('macs_ips'!$A$2:$A$403)-ROW(INDEX('macs_ips'!$A$2:$A$403,1,1))+1)/('macs_ips'!$E$2:$E$403=$J$1),ROW(A288))),"")</f>
        <v/>
      </c>
      <c r="G290" s="40">
        <f>IFERROR(INDEX('macs_ips'!$G$2:$G$403,AGGREGATE(15,6,(ROW('macs_ips'!$A$2:$A$403)-ROW(INDEX('macs_ips'!$A$2:$A$403,1,1))+1)/('macs_ips'!$E$2:$E$403=$J$1),ROW(A288))),"")</f>
        <v/>
      </c>
    </row>
    <row r="291">
      <c r="A291" s="40">
        <f>IFERROR(INDEX('macs_ips'!$A$2:$A$403,AGGREGATE(15,6,(ROW('macs_ips'!$A$2:$A$403)-ROW(INDEX('macs_ips'!$A$2:$A$403,1,1))+1)/('macs_ips'!$E$2:$E$403=$J$1),ROW(A289))),"")</f>
        <v/>
      </c>
      <c r="B291" s="40">
        <f>IFERROR(INDEX('macs_ips'!$B$2:$B$403,AGGREGATE(15,6,(ROW('macs_ips'!$A$2:$A$403)-ROW(INDEX('macs_ips'!$A$2:$A$403,1,1))+1)/('macs_ips'!$E$2:$E$403=$J$1),ROW(A289))),"")</f>
        <v/>
      </c>
      <c r="C291" s="40">
        <f>IFERROR(INDEX('macs_ips'!$C$2:$C$403,AGGREGATE(15,6,(ROW('macs_ips'!$A$2:$A$403)-ROW(INDEX('macs_ips'!$A$2:$A$403,1,1))+1)/('macs_ips'!$E$2:$E$403=$J$1),ROW(A289))),"")</f>
        <v/>
      </c>
      <c r="D291" s="41">
        <f>IFERROR(INDEX('macs_ips'!$D$2:$D$403,AGGREGATE(15,6,(ROW('macs_ips'!$A$2:$A$403)-ROW(INDEX('macs_ips'!$A$2:$A$403,1,1))+1)/('macs_ips'!$E$2:$E$403=$J$1),ROW(A289))),"")</f>
        <v/>
      </c>
      <c r="E291" s="40">
        <f>IFERROR(INDEX('macs_ips'!$E$2:$E$403,AGGREGATE(15,6,(ROW('macs_ips'!$A$2:$A$403)-ROW(INDEX('macs_ips'!$A$2:$A$403,1,1))+1)/('macs_ips'!$E$2:$E$403=$J$1),ROW(A289))),"")</f>
        <v/>
      </c>
      <c r="F291" s="41">
        <f>IFERROR(INDEX('macs_ips'!$F$2:$F$403,AGGREGATE(15,6,(ROW('macs_ips'!$A$2:$A$403)-ROW(INDEX('macs_ips'!$A$2:$A$403,1,1))+1)/('macs_ips'!$E$2:$E$403=$J$1),ROW(A289))),"")</f>
        <v/>
      </c>
      <c r="G291" s="40">
        <f>IFERROR(INDEX('macs_ips'!$G$2:$G$403,AGGREGATE(15,6,(ROW('macs_ips'!$A$2:$A$403)-ROW(INDEX('macs_ips'!$A$2:$A$403,1,1))+1)/('macs_ips'!$E$2:$E$403=$J$1),ROW(A289))),"")</f>
        <v/>
      </c>
    </row>
    <row r="292">
      <c r="A292" s="40">
        <f>IFERROR(INDEX('macs_ips'!$A$2:$A$403,AGGREGATE(15,6,(ROW('macs_ips'!$A$2:$A$403)-ROW(INDEX('macs_ips'!$A$2:$A$403,1,1))+1)/('macs_ips'!$E$2:$E$403=$J$1),ROW(A290))),"")</f>
        <v/>
      </c>
      <c r="B292" s="40">
        <f>IFERROR(INDEX('macs_ips'!$B$2:$B$403,AGGREGATE(15,6,(ROW('macs_ips'!$A$2:$A$403)-ROW(INDEX('macs_ips'!$A$2:$A$403,1,1))+1)/('macs_ips'!$E$2:$E$403=$J$1),ROW(A290))),"")</f>
        <v/>
      </c>
      <c r="C292" s="40">
        <f>IFERROR(INDEX('macs_ips'!$C$2:$C$403,AGGREGATE(15,6,(ROW('macs_ips'!$A$2:$A$403)-ROW(INDEX('macs_ips'!$A$2:$A$403,1,1))+1)/('macs_ips'!$E$2:$E$403=$J$1),ROW(A290))),"")</f>
        <v/>
      </c>
      <c r="D292" s="41">
        <f>IFERROR(INDEX('macs_ips'!$D$2:$D$403,AGGREGATE(15,6,(ROW('macs_ips'!$A$2:$A$403)-ROW(INDEX('macs_ips'!$A$2:$A$403,1,1))+1)/('macs_ips'!$E$2:$E$403=$J$1),ROW(A290))),"")</f>
        <v/>
      </c>
      <c r="E292" s="40">
        <f>IFERROR(INDEX('macs_ips'!$E$2:$E$403,AGGREGATE(15,6,(ROW('macs_ips'!$A$2:$A$403)-ROW(INDEX('macs_ips'!$A$2:$A$403,1,1))+1)/('macs_ips'!$E$2:$E$403=$J$1),ROW(A290))),"")</f>
        <v/>
      </c>
      <c r="F292" s="41">
        <f>IFERROR(INDEX('macs_ips'!$F$2:$F$403,AGGREGATE(15,6,(ROW('macs_ips'!$A$2:$A$403)-ROW(INDEX('macs_ips'!$A$2:$A$403,1,1))+1)/('macs_ips'!$E$2:$E$403=$J$1),ROW(A290))),"")</f>
        <v/>
      </c>
      <c r="G292" s="40">
        <f>IFERROR(INDEX('macs_ips'!$G$2:$G$403,AGGREGATE(15,6,(ROW('macs_ips'!$A$2:$A$403)-ROW(INDEX('macs_ips'!$A$2:$A$403,1,1))+1)/('macs_ips'!$E$2:$E$403=$J$1),ROW(A290))),"")</f>
        <v/>
      </c>
    </row>
    <row r="293">
      <c r="A293" s="40">
        <f>IFERROR(INDEX('macs_ips'!$A$2:$A$403,AGGREGATE(15,6,(ROW('macs_ips'!$A$2:$A$403)-ROW(INDEX('macs_ips'!$A$2:$A$403,1,1))+1)/('macs_ips'!$E$2:$E$403=$J$1),ROW(A291))),"")</f>
        <v/>
      </c>
      <c r="B293" s="40">
        <f>IFERROR(INDEX('macs_ips'!$B$2:$B$403,AGGREGATE(15,6,(ROW('macs_ips'!$A$2:$A$403)-ROW(INDEX('macs_ips'!$A$2:$A$403,1,1))+1)/('macs_ips'!$E$2:$E$403=$J$1),ROW(A291))),"")</f>
        <v/>
      </c>
      <c r="C293" s="40">
        <f>IFERROR(INDEX('macs_ips'!$C$2:$C$403,AGGREGATE(15,6,(ROW('macs_ips'!$A$2:$A$403)-ROW(INDEX('macs_ips'!$A$2:$A$403,1,1))+1)/('macs_ips'!$E$2:$E$403=$J$1),ROW(A291))),"")</f>
        <v/>
      </c>
      <c r="D293" s="41">
        <f>IFERROR(INDEX('macs_ips'!$D$2:$D$403,AGGREGATE(15,6,(ROW('macs_ips'!$A$2:$A$403)-ROW(INDEX('macs_ips'!$A$2:$A$403,1,1))+1)/('macs_ips'!$E$2:$E$403=$J$1),ROW(A291))),"")</f>
        <v/>
      </c>
      <c r="E293" s="40">
        <f>IFERROR(INDEX('macs_ips'!$E$2:$E$403,AGGREGATE(15,6,(ROW('macs_ips'!$A$2:$A$403)-ROW(INDEX('macs_ips'!$A$2:$A$403,1,1))+1)/('macs_ips'!$E$2:$E$403=$J$1),ROW(A291))),"")</f>
        <v/>
      </c>
      <c r="F293" s="41">
        <f>IFERROR(INDEX('macs_ips'!$F$2:$F$403,AGGREGATE(15,6,(ROW('macs_ips'!$A$2:$A$403)-ROW(INDEX('macs_ips'!$A$2:$A$403,1,1))+1)/('macs_ips'!$E$2:$E$403=$J$1),ROW(A291))),"")</f>
        <v/>
      </c>
      <c r="G293" s="40">
        <f>IFERROR(INDEX('macs_ips'!$G$2:$G$403,AGGREGATE(15,6,(ROW('macs_ips'!$A$2:$A$403)-ROW(INDEX('macs_ips'!$A$2:$A$403,1,1))+1)/('macs_ips'!$E$2:$E$403=$J$1),ROW(A291))),"")</f>
        <v/>
      </c>
    </row>
    <row r="294">
      <c r="A294" s="40">
        <f>IFERROR(INDEX('macs_ips'!$A$2:$A$403,AGGREGATE(15,6,(ROW('macs_ips'!$A$2:$A$403)-ROW(INDEX('macs_ips'!$A$2:$A$403,1,1))+1)/('macs_ips'!$E$2:$E$403=$J$1),ROW(A292))),"")</f>
        <v/>
      </c>
      <c r="B294" s="40">
        <f>IFERROR(INDEX('macs_ips'!$B$2:$B$403,AGGREGATE(15,6,(ROW('macs_ips'!$A$2:$A$403)-ROW(INDEX('macs_ips'!$A$2:$A$403,1,1))+1)/('macs_ips'!$E$2:$E$403=$J$1),ROW(A292))),"")</f>
        <v/>
      </c>
      <c r="C294" s="40">
        <f>IFERROR(INDEX('macs_ips'!$C$2:$C$403,AGGREGATE(15,6,(ROW('macs_ips'!$A$2:$A$403)-ROW(INDEX('macs_ips'!$A$2:$A$403,1,1))+1)/('macs_ips'!$E$2:$E$403=$J$1),ROW(A292))),"")</f>
        <v/>
      </c>
      <c r="D294" s="41">
        <f>IFERROR(INDEX('macs_ips'!$D$2:$D$403,AGGREGATE(15,6,(ROW('macs_ips'!$A$2:$A$403)-ROW(INDEX('macs_ips'!$A$2:$A$403,1,1))+1)/('macs_ips'!$E$2:$E$403=$J$1),ROW(A292))),"")</f>
        <v/>
      </c>
      <c r="E294" s="40">
        <f>IFERROR(INDEX('macs_ips'!$E$2:$E$403,AGGREGATE(15,6,(ROW('macs_ips'!$A$2:$A$403)-ROW(INDEX('macs_ips'!$A$2:$A$403,1,1))+1)/('macs_ips'!$E$2:$E$403=$J$1),ROW(A292))),"")</f>
        <v/>
      </c>
      <c r="F294" s="41">
        <f>IFERROR(INDEX('macs_ips'!$F$2:$F$403,AGGREGATE(15,6,(ROW('macs_ips'!$A$2:$A$403)-ROW(INDEX('macs_ips'!$A$2:$A$403,1,1))+1)/('macs_ips'!$E$2:$E$403=$J$1),ROW(A292))),"")</f>
        <v/>
      </c>
      <c r="G294" s="40">
        <f>IFERROR(INDEX('macs_ips'!$G$2:$G$403,AGGREGATE(15,6,(ROW('macs_ips'!$A$2:$A$403)-ROW(INDEX('macs_ips'!$A$2:$A$403,1,1))+1)/('macs_ips'!$E$2:$E$403=$J$1),ROW(A292))),"")</f>
        <v/>
      </c>
    </row>
    <row r="295">
      <c r="A295" s="40">
        <f>IFERROR(INDEX('macs_ips'!$A$2:$A$403,AGGREGATE(15,6,(ROW('macs_ips'!$A$2:$A$403)-ROW(INDEX('macs_ips'!$A$2:$A$403,1,1))+1)/('macs_ips'!$E$2:$E$403=$J$1),ROW(A293))),"")</f>
        <v/>
      </c>
      <c r="B295" s="40">
        <f>IFERROR(INDEX('macs_ips'!$B$2:$B$403,AGGREGATE(15,6,(ROW('macs_ips'!$A$2:$A$403)-ROW(INDEX('macs_ips'!$A$2:$A$403,1,1))+1)/('macs_ips'!$E$2:$E$403=$J$1),ROW(A293))),"")</f>
        <v/>
      </c>
      <c r="C295" s="40">
        <f>IFERROR(INDEX('macs_ips'!$C$2:$C$403,AGGREGATE(15,6,(ROW('macs_ips'!$A$2:$A$403)-ROW(INDEX('macs_ips'!$A$2:$A$403,1,1))+1)/('macs_ips'!$E$2:$E$403=$J$1),ROW(A293))),"")</f>
        <v/>
      </c>
      <c r="D295" s="41">
        <f>IFERROR(INDEX('macs_ips'!$D$2:$D$403,AGGREGATE(15,6,(ROW('macs_ips'!$A$2:$A$403)-ROW(INDEX('macs_ips'!$A$2:$A$403,1,1))+1)/('macs_ips'!$E$2:$E$403=$J$1),ROW(A293))),"")</f>
        <v/>
      </c>
      <c r="E295" s="40">
        <f>IFERROR(INDEX('macs_ips'!$E$2:$E$403,AGGREGATE(15,6,(ROW('macs_ips'!$A$2:$A$403)-ROW(INDEX('macs_ips'!$A$2:$A$403,1,1))+1)/('macs_ips'!$E$2:$E$403=$J$1),ROW(A293))),"")</f>
        <v/>
      </c>
      <c r="F295" s="41">
        <f>IFERROR(INDEX('macs_ips'!$F$2:$F$403,AGGREGATE(15,6,(ROW('macs_ips'!$A$2:$A$403)-ROW(INDEX('macs_ips'!$A$2:$A$403,1,1))+1)/('macs_ips'!$E$2:$E$403=$J$1),ROW(A293))),"")</f>
        <v/>
      </c>
      <c r="G295" s="40">
        <f>IFERROR(INDEX('macs_ips'!$G$2:$G$403,AGGREGATE(15,6,(ROW('macs_ips'!$A$2:$A$403)-ROW(INDEX('macs_ips'!$A$2:$A$403,1,1))+1)/('macs_ips'!$E$2:$E$403=$J$1),ROW(A293))),"")</f>
        <v/>
      </c>
    </row>
    <row r="296">
      <c r="A296" s="40">
        <f>IFERROR(INDEX('macs_ips'!$A$2:$A$403,AGGREGATE(15,6,(ROW('macs_ips'!$A$2:$A$403)-ROW(INDEX('macs_ips'!$A$2:$A$403,1,1))+1)/('macs_ips'!$E$2:$E$403=$J$1),ROW(A294))),"")</f>
        <v/>
      </c>
      <c r="B296" s="40">
        <f>IFERROR(INDEX('macs_ips'!$B$2:$B$403,AGGREGATE(15,6,(ROW('macs_ips'!$A$2:$A$403)-ROW(INDEX('macs_ips'!$A$2:$A$403,1,1))+1)/('macs_ips'!$E$2:$E$403=$J$1),ROW(A294))),"")</f>
        <v/>
      </c>
      <c r="C296" s="40">
        <f>IFERROR(INDEX('macs_ips'!$C$2:$C$403,AGGREGATE(15,6,(ROW('macs_ips'!$A$2:$A$403)-ROW(INDEX('macs_ips'!$A$2:$A$403,1,1))+1)/('macs_ips'!$E$2:$E$403=$J$1),ROW(A294))),"")</f>
        <v/>
      </c>
      <c r="D296" s="41">
        <f>IFERROR(INDEX('macs_ips'!$D$2:$D$403,AGGREGATE(15,6,(ROW('macs_ips'!$A$2:$A$403)-ROW(INDEX('macs_ips'!$A$2:$A$403,1,1))+1)/('macs_ips'!$E$2:$E$403=$J$1),ROW(A294))),"")</f>
        <v/>
      </c>
      <c r="E296" s="40">
        <f>IFERROR(INDEX('macs_ips'!$E$2:$E$403,AGGREGATE(15,6,(ROW('macs_ips'!$A$2:$A$403)-ROW(INDEX('macs_ips'!$A$2:$A$403,1,1))+1)/('macs_ips'!$E$2:$E$403=$J$1),ROW(A294))),"")</f>
        <v/>
      </c>
      <c r="F296" s="41">
        <f>IFERROR(INDEX('macs_ips'!$F$2:$F$403,AGGREGATE(15,6,(ROW('macs_ips'!$A$2:$A$403)-ROW(INDEX('macs_ips'!$A$2:$A$403,1,1))+1)/('macs_ips'!$E$2:$E$403=$J$1),ROW(A294))),"")</f>
        <v/>
      </c>
      <c r="G296" s="40">
        <f>IFERROR(INDEX('macs_ips'!$G$2:$G$403,AGGREGATE(15,6,(ROW('macs_ips'!$A$2:$A$403)-ROW(INDEX('macs_ips'!$A$2:$A$403,1,1))+1)/('macs_ips'!$E$2:$E$403=$J$1),ROW(A294))),"")</f>
        <v/>
      </c>
    </row>
    <row r="297">
      <c r="A297" s="40">
        <f>IFERROR(INDEX('macs_ips'!$A$2:$A$403,AGGREGATE(15,6,(ROW('macs_ips'!$A$2:$A$403)-ROW(INDEX('macs_ips'!$A$2:$A$403,1,1))+1)/('macs_ips'!$E$2:$E$403=$J$1),ROW(A295))),"")</f>
        <v/>
      </c>
      <c r="B297" s="40">
        <f>IFERROR(INDEX('macs_ips'!$B$2:$B$403,AGGREGATE(15,6,(ROW('macs_ips'!$A$2:$A$403)-ROW(INDEX('macs_ips'!$A$2:$A$403,1,1))+1)/('macs_ips'!$E$2:$E$403=$J$1),ROW(A295))),"")</f>
        <v/>
      </c>
      <c r="C297" s="40">
        <f>IFERROR(INDEX('macs_ips'!$C$2:$C$403,AGGREGATE(15,6,(ROW('macs_ips'!$A$2:$A$403)-ROW(INDEX('macs_ips'!$A$2:$A$403,1,1))+1)/('macs_ips'!$E$2:$E$403=$J$1),ROW(A295))),"")</f>
        <v/>
      </c>
      <c r="D297" s="41">
        <f>IFERROR(INDEX('macs_ips'!$D$2:$D$403,AGGREGATE(15,6,(ROW('macs_ips'!$A$2:$A$403)-ROW(INDEX('macs_ips'!$A$2:$A$403,1,1))+1)/('macs_ips'!$E$2:$E$403=$J$1),ROW(A295))),"")</f>
        <v/>
      </c>
      <c r="E297" s="40">
        <f>IFERROR(INDEX('macs_ips'!$E$2:$E$403,AGGREGATE(15,6,(ROW('macs_ips'!$A$2:$A$403)-ROW(INDEX('macs_ips'!$A$2:$A$403,1,1))+1)/('macs_ips'!$E$2:$E$403=$J$1),ROW(A295))),"")</f>
        <v/>
      </c>
      <c r="F297" s="41">
        <f>IFERROR(INDEX('macs_ips'!$F$2:$F$403,AGGREGATE(15,6,(ROW('macs_ips'!$A$2:$A$403)-ROW(INDEX('macs_ips'!$A$2:$A$403,1,1))+1)/('macs_ips'!$E$2:$E$403=$J$1),ROW(A295))),"")</f>
        <v/>
      </c>
      <c r="G297" s="40">
        <f>IFERROR(INDEX('macs_ips'!$G$2:$G$403,AGGREGATE(15,6,(ROW('macs_ips'!$A$2:$A$403)-ROW(INDEX('macs_ips'!$A$2:$A$403,1,1))+1)/('macs_ips'!$E$2:$E$403=$J$1),ROW(A295))),"")</f>
        <v/>
      </c>
    </row>
    <row r="298">
      <c r="A298" s="40">
        <f>IFERROR(INDEX('macs_ips'!$A$2:$A$403,AGGREGATE(15,6,(ROW('macs_ips'!$A$2:$A$403)-ROW(INDEX('macs_ips'!$A$2:$A$403,1,1))+1)/('macs_ips'!$E$2:$E$403=$J$1),ROW(A296))),"")</f>
        <v/>
      </c>
      <c r="B298" s="40">
        <f>IFERROR(INDEX('macs_ips'!$B$2:$B$403,AGGREGATE(15,6,(ROW('macs_ips'!$A$2:$A$403)-ROW(INDEX('macs_ips'!$A$2:$A$403,1,1))+1)/('macs_ips'!$E$2:$E$403=$J$1),ROW(A296))),"")</f>
        <v/>
      </c>
      <c r="C298" s="40">
        <f>IFERROR(INDEX('macs_ips'!$C$2:$C$403,AGGREGATE(15,6,(ROW('macs_ips'!$A$2:$A$403)-ROW(INDEX('macs_ips'!$A$2:$A$403,1,1))+1)/('macs_ips'!$E$2:$E$403=$J$1),ROW(A296))),"")</f>
        <v/>
      </c>
      <c r="D298" s="41">
        <f>IFERROR(INDEX('macs_ips'!$D$2:$D$403,AGGREGATE(15,6,(ROW('macs_ips'!$A$2:$A$403)-ROW(INDEX('macs_ips'!$A$2:$A$403,1,1))+1)/('macs_ips'!$E$2:$E$403=$J$1),ROW(A296))),"")</f>
        <v/>
      </c>
      <c r="E298" s="40">
        <f>IFERROR(INDEX('macs_ips'!$E$2:$E$403,AGGREGATE(15,6,(ROW('macs_ips'!$A$2:$A$403)-ROW(INDEX('macs_ips'!$A$2:$A$403,1,1))+1)/('macs_ips'!$E$2:$E$403=$J$1),ROW(A296))),"")</f>
        <v/>
      </c>
      <c r="F298" s="41">
        <f>IFERROR(INDEX('macs_ips'!$F$2:$F$403,AGGREGATE(15,6,(ROW('macs_ips'!$A$2:$A$403)-ROW(INDEX('macs_ips'!$A$2:$A$403,1,1))+1)/('macs_ips'!$E$2:$E$403=$J$1),ROW(A296))),"")</f>
        <v/>
      </c>
      <c r="G298" s="40">
        <f>IFERROR(INDEX('macs_ips'!$G$2:$G$403,AGGREGATE(15,6,(ROW('macs_ips'!$A$2:$A$403)-ROW(INDEX('macs_ips'!$A$2:$A$403,1,1))+1)/('macs_ips'!$E$2:$E$403=$J$1),ROW(A296))),"")</f>
        <v/>
      </c>
    </row>
    <row r="299">
      <c r="A299" s="40">
        <f>IFERROR(INDEX('macs_ips'!$A$2:$A$403,AGGREGATE(15,6,(ROW('macs_ips'!$A$2:$A$403)-ROW(INDEX('macs_ips'!$A$2:$A$403,1,1))+1)/('macs_ips'!$E$2:$E$403=$J$1),ROW(A297))),"")</f>
        <v/>
      </c>
      <c r="B299" s="40">
        <f>IFERROR(INDEX('macs_ips'!$B$2:$B$403,AGGREGATE(15,6,(ROW('macs_ips'!$A$2:$A$403)-ROW(INDEX('macs_ips'!$A$2:$A$403,1,1))+1)/('macs_ips'!$E$2:$E$403=$J$1),ROW(A297))),"")</f>
        <v/>
      </c>
      <c r="C299" s="40">
        <f>IFERROR(INDEX('macs_ips'!$C$2:$C$403,AGGREGATE(15,6,(ROW('macs_ips'!$A$2:$A$403)-ROW(INDEX('macs_ips'!$A$2:$A$403,1,1))+1)/('macs_ips'!$E$2:$E$403=$J$1),ROW(A297))),"")</f>
        <v/>
      </c>
      <c r="D299" s="41">
        <f>IFERROR(INDEX('macs_ips'!$D$2:$D$403,AGGREGATE(15,6,(ROW('macs_ips'!$A$2:$A$403)-ROW(INDEX('macs_ips'!$A$2:$A$403,1,1))+1)/('macs_ips'!$E$2:$E$403=$J$1),ROW(A297))),"")</f>
        <v/>
      </c>
      <c r="E299" s="40">
        <f>IFERROR(INDEX('macs_ips'!$E$2:$E$403,AGGREGATE(15,6,(ROW('macs_ips'!$A$2:$A$403)-ROW(INDEX('macs_ips'!$A$2:$A$403,1,1))+1)/('macs_ips'!$E$2:$E$403=$J$1),ROW(A297))),"")</f>
        <v/>
      </c>
      <c r="F299" s="41">
        <f>IFERROR(INDEX('macs_ips'!$F$2:$F$403,AGGREGATE(15,6,(ROW('macs_ips'!$A$2:$A$403)-ROW(INDEX('macs_ips'!$A$2:$A$403,1,1))+1)/('macs_ips'!$E$2:$E$403=$J$1),ROW(A297))),"")</f>
        <v/>
      </c>
      <c r="G299" s="40">
        <f>IFERROR(INDEX('macs_ips'!$G$2:$G$403,AGGREGATE(15,6,(ROW('macs_ips'!$A$2:$A$403)-ROW(INDEX('macs_ips'!$A$2:$A$403,1,1))+1)/('macs_ips'!$E$2:$E$403=$J$1),ROW(A297))),"")</f>
        <v/>
      </c>
    </row>
    <row r="300">
      <c r="A300" s="40">
        <f>IFERROR(INDEX('macs_ips'!$A$2:$A$403,AGGREGATE(15,6,(ROW('macs_ips'!$A$2:$A$403)-ROW(INDEX('macs_ips'!$A$2:$A$403,1,1))+1)/('macs_ips'!$E$2:$E$403=$J$1),ROW(A298))),"")</f>
        <v/>
      </c>
      <c r="B300" s="40">
        <f>IFERROR(INDEX('macs_ips'!$B$2:$B$403,AGGREGATE(15,6,(ROW('macs_ips'!$A$2:$A$403)-ROW(INDEX('macs_ips'!$A$2:$A$403,1,1))+1)/('macs_ips'!$E$2:$E$403=$J$1),ROW(A298))),"")</f>
        <v/>
      </c>
      <c r="C300" s="40">
        <f>IFERROR(INDEX('macs_ips'!$C$2:$C$403,AGGREGATE(15,6,(ROW('macs_ips'!$A$2:$A$403)-ROW(INDEX('macs_ips'!$A$2:$A$403,1,1))+1)/('macs_ips'!$E$2:$E$403=$J$1),ROW(A298))),"")</f>
        <v/>
      </c>
      <c r="D300" s="41">
        <f>IFERROR(INDEX('macs_ips'!$D$2:$D$403,AGGREGATE(15,6,(ROW('macs_ips'!$A$2:$A$403)-ROW(INDEX('macs_ips'!$A$2:$A$403,1,1))+1)/('macs_ips'!$E$2:$E$403=$J$1),ROW(A298))),"")</f>
        <v/>
      </c>
      <c r="E300" s="40">
        <f>IFERROR(INDEX('macs_ips'!$E$2:$E$403,AGGREGATE(15,6,(ROW('macs_ips'!$A$2:$A$403)-ROW(INDEX('macs_ips'!$A$2:$A$403,1,1))+1)/('macs_ips'!$E$2:$E$403=$J$1),ROW(A298))),"")</f>
        <v/>
      </c>
      <c r="F300" s="41">
        <f>IFERROR(INDEX('macs_ips'!$F$2:$F$403,AGGREGATE(15,6,(ROW('macs_ips'!$A$2:$A$403)-ROW(INDEX('macs_ips'!$A$2:$A$403,1,1))+1)/('macs_ips'!$E$2:$E$403=$J$1),ROW(A298))),"")</f>
        <v/>
      </c>
      <c r="G300" s="40">
        <f>IFERROR(INDEX('macs_ips'!$G$2:$G$403,AGGREGATE(15,6,(ROW('macs_ips'!$A$2:$A$403)-ROW(INDEX('macs_ips'!$A$2:$A$403,1,1))+1)/('macs_ips'!$E$2:$E$403=$J$1),ROW(A298))),"")</f>
        <v/>
      </c>
    </row>
    <row r="301">
      <c r="A301" s="40">
        <f>IFERROR(INDEX('macs_ips'!$A$2:$A$403,AGGREGATE(15,6,(ROW('macs_ips'!$A$2:$A$403)-ROW(INDEX('macs_ips'!$A$2:$A$403,1,1))+1)/('macs_ips'!$E$2:$E$403=$J$1),ROW(A299))),"")</f>
        <v/>
      </c>
      <c r="B301" s="40">
        <f>IFERROR(INDEX('macs_ips'!$B$2:$B$403,AGGREGATE(15,6,(ROW('macs_ips'!$A$2:$A$403)-ROW(INDEX('macs_ips'!$A$2:$A$403,1,1))+1)/('macs_ips'!$E$2:$E$403=$J$1),ROW(A299))),"")</f>
        <v/>
      </c>
      <c r="C301" s="40">
        <f>IFERROR(INDEX('macs_ips'!$C$2:$C$403,AGGREGATE(15,6,(ROW('macs_ips'!$A$2:$A$403)-ROW(INDEX('macs_ips'!$A$2:$A$403,1,1))+1)/('macs_ips'!$E$2:$E$403=$J$1),ROW(A299))),"")</f>
        <v/>
      </c>
      <c r="D301" s="41">
        <f>IFERROR(INDEX('macs_ips'!$D$2:$D$403,AGGREGATE(15,6,(ROW('macs_ips'!$A$2:$A$403)-ROW(INDEX('macs_ips'!$A$2:$A$403,1,1))+1)/('macs_ips'!$E$2:$E$403=$J$1),ROW(A299))),"")</f>
        <v/>
      </c>
      <c r="E301" s="40">
        <f>IFERROR(INDEX('macs_ips'!$E$2:$E$403,AGGREGATE(15,6,(ROW('macs_ips'!$A$2:$A$403)-ROW(INDEX('macs_ips'!$A$2:$A$403,1,1))+1)/('macs_ips'!$E$2:$E$403=$J$1),ROW(A299))),"")</f>
        <v/>
      </c>
      <c r="F301" s="41">
        <f>IFERROR(INDEX('macs_ips'!$F$2:$F$403,AGGREGATE(15,6,(ROW('macs_ips'!$A$2:$A$403)-ROW(INDEX('macs_ips'!$A$2:$A$403,1,1))+1)/('macs_ips'!$E$2:$E$403=$J$1),ROW(A299))),"")</f>
        <v/>
      </c>
      <c r="G301" s="40">
        <f>IFERROR(INDEX('macs_ips'!$G$2:$G$403,AGGREGATE(15,6,(ROW('macs_ips'!$A$2:$A$403)-ROW(INDEX('macs_ips'!$A$2:$A$403,1,1))+1)/('macs_ips'!$E$2:$E$403=$J$1),ROW(A299))),"")</f>
        <v/>
      </c>
    </row>
    <row r="302">
      <c r="A302" s="40">
        <f>IFERROR(INDEX('macs_ips'!$A$2:$A$403,AGGREGATE(15,6,(ROW('macs_ips'!$A$2:$A$403)-ROW(INDEX('macs_ips'!$A$2:$A$403,1,1))+1)/('macs_ips'!$E$2:$E$403=$J$1),ROW(A300))),"")</f>
        <v/>
      </c>
      <c r="B302" s="40">
        <f>IFERROR(INDEX('macs_ips'!$B$2:$B$403,AGGREGATE(15,6,(ROW('macs_ips'!$A$2:$A$403)-ROW(INDEX('macs_ips'!$A$2:$A$403,1,1))+1)/('macs_ips'!$E$2:$E$403=$J$1),ROW(A300))),"")</f>
        <v/>
      </c>
      <c r="C302" s="40">
        <f>IFERROR(INDEX('macs_ips'!$C$2:$C$403,AGGREGATE(15,6,(ROW('macs_ips'!$A$2:$A$403)-ROW(INDEX('macs_ips'!$A$2:$A$403,1,1))+1)/('macs_ips'!$E$2:$E$403=$J$1),ROW(A300))),"")</f>
        <v/>
      </c>
      <c r="D302" s="41">
        <f>IFERROR(INDEX('macs_ips'!$D$2:$D$403,AGGREGATE(15,6,(ROW('macs_ips'!$A$2:$A$403)-ROW(INDEX('macs_ips'!$A$2:$A$403,1,1))+1)/('macs_ips'!$E$2:$E$403=$J$1),ROW(A300))),"")</f>
        <v/>
      </c>
      <c r="E302" s="40">
        <f>IFERROR(INDEX('macs_ips'!$E$2:$E$403,AGGREGATE(15,6,(ROW('macs_ips'!$A$2:$A$403)-ROW(INDEX('macs_ips'!$A$2:$A$403,1,1))+1)/('macs_ips'!$E$2:$E$403=$J$1),ROW(A300))),"")</f>
        <v/>
      </c>
      <c r="F302" s="41">
        <f>IFERROR(INDEX('macs_ips'!$F$2:$F$403,AGGREGATE(15,6,(ROW('macs_ips'!$A$2:$A$403)-ROW(INDEX('macs_ips'!$A$2:$A$403,1,1))+1)/('macs_ips'!$E$2:$E$403=$J$1),ROW(A300))),"")</f>
        <v/>
      </c>
      <c r="G302" s="40">
        <f>IFERROR(INDEX('macs_ips'!$G$2:$G$403,AGGREGATE(15,6,(ROW('macs_ips'!$A$2:$A$403)-ROW(INDEX('macs_ips'!$A$2:$A$403,1,1))+1)/('macs_ips'!$E$2:$E$403=$J$1),ROW(A300))),"")</f>
        <v/>
      </c>
    </row>
    <row r="303">
      <c r="A303" s="40">
        <f>IFERROR(INDEX('macs_ips'!$A$2:$A$403,AGGREGATE(15,6,(ROW('macs_ips'!$A$2:$A$403)-ROW(INDEX('macs_ips'!$A$2:$A$403,1,1))+1)/('macs_ips'!$E$2:$E$403=$J$1),ROW(A301))),"")</f>
        <v/>
      </c>
      <c r="B303" s="40">
        <f>IFERROR(INDEX('macs_ips'!$B$2:$B$403,AGGREGATE(15,6,(ROW('macs_ips'!$A$2:$A$403)-ROW(INDEX('macs_ips'!$A$2:$A$403,1,1))+1)/('macs_ips'!$E$2:$E$403=$J$1),ROW(A301))),"")</f>
        <v/>
      </c>
      <c r="C303" s="40">
        <f>IFERROR(INDEX('macs_ips'!$C$2:$C$403,AGGREGATE(15,6,(ROW('macs_ips'!$A$2:$A$403)-ROW(INDEX('macs_ips'!$A$2:$A$403,1,1))+1)/('macs_ips'!$E$2:$E$403=$J$1),ROW(A301))),"")</f>
        <v/>
      </c>
      <c r="D303" s="41">
        <f>IFERROR(INDEX('macs_ips'!$D$2:$D$403,AGGREGATE(15,6,(ROW('macs_ips'!$A$2:$A$403)-ROW(INDEX('macs_ips'!$A$2:$A$403,1,1))+1)/('macs_ips'!$E$2:$E$403=$J$1),ROW(A301))),"")</f>
        <v/>
      </c>
      <c r="E303" s="40">
        <f>IFERROR(INDEX('macs_ips'!$E$2:$E$403,AGGREGATE(15,6,(ROW('macs_ips'!$A$2:$A$403)-ROW(INDEX('macs_ips'!$A$2:$A$403,1,1))+1)/('macs_ips'!$E$2:$E$403=$J$1),ROW(A301))),"")</f>
        <v/>
      </c>
      <c r="F303" s="41">
        <f>IFERROR(INDEX('macs_ips'!$F$2:$F$403,AGGREGATE(15,6,(ROW('macs_ips'!$A$2:$A$403)-ROW(INDEX('macs_ips'!$A$2:$A$403,1,1))+1)/('macs_ips'!$E$2:$E$403=$J$1),ROW(A301))),"")</f>
        <v/>
      </c>
      <c r="G303" s="40">
        <f>IFERROR(INDEX('macs_ips'!$G$2:$G$403,AGGREGATE(15,6,(ROW('macs_ips'!$A$2:$A$403)-ROW(INDEX('macs_ips'!$A$2:$A$403,1,1))+1)/('macs_ips'!$E$2:$E$403=$J$1),ROW(A301))),"")</f>
        <v/>
      </c>
    </row>
    <row r="304">
      <c r="A304" s="40">
        <f>IFERROR(INDEX('macs_ips'!$A$2:$A$403,AGGREGATE(15,6,(ROW('macs_ips'!$A$2:$A$403)-ROW(INDEX('macs_ips'!$A$2:$A$403,1,1))+1)/('macs_ips'!$E$2:$E$403=$J$1),ROW(A302))),"")</f>
        <v/>
      </c>
      <c r="B304" s="40">
        <f>IFERROR(INDEX('macs_ips'!$B$2:$B$403,AGGREGATE(15,6,(ROW('macs_ips'!$A$2:$A$403)-ROW(INDEX('macs_ips'!$A$2:$A$403,1,1))+1)/('macs_ips'!$E$2:$E$403=$J$1),ROW(A302))),"")</f>
        <v/>
      </c>
      <c r="C304" s="40">
        <f>IFERROR(INDEX('macs_ips'!$C$2:$C$403,AGGREGATE(15,6,(ROW('macs_ips'!$A$2:$A$403)-ROW(INDEX('macs_ips'!$A$2:$A$403,1,1))+1)/('macs_ips'!$E$2:$E$403=$J$1),ROW(A302))),"")</f>
        <v/>
      </c>
      <c r="D304" s="41">
        <f>IFERROR(INDEX('macs_ips'!$D$2:$D$403,AGGREGATE(15,6,(ROW('macs_ips'!$A$2:$A$403)-ROW(INDEX('macs_ips'!$A$2:$A$403,1,1))+1)/('macs_ips'!$E$2:$E$403=$J$1),ROW(A302))),"")</f>
        <v/>
      </c>
      <c r="E304" s="40">
        <f>IFERROR(INDEX('macs_ips'!$E$2:$E$403,AGGREGATE(15,6,(ROW('macs_ips'!$A$2:$A$403)-ROW(INDEX('macs_ips'!$A$2:$A$403,1,1))+1)/('macs_ips'!$E$2:$E$403=$J$1),ROW(A302))),"")</f>
        <v/>
      </c>
      <c r="F304" s="41">
        <f>IFERROR(INDEX('macs_ips'!$F$2:$F$403,AGGREGATE(15,6,(ROW('macs_ips'!$A$2:$A$403)-ROW(INDEX('macs_ips'!$A$2:$A$403,1,1))+1)/('macs_ips'!$E$2:$E$403=$J$1),ROW(A302))),"")</f>
        <v/>
      </c>
      <c r="G304" s="40">
        <f>IFERROR(INDEX('macs_ips'!$G$2:$G$403,AGGREGATE(15,6,(ROW('macs_ips'!$A$2:$A$403)-ROW(INDEX('macs_ips'!$A$2:$A$403,1,1))+1)/('macs_ips'!$E$2:$E$403=$J$1),ROW(A302))),"")</f>
        <v/>
      </c>
    </row>
    <row r="305">
      <c r="A305" s="40">
        <f>IFERROR(INDEX('macs_ips'!$A$2:$A$403,AGGREGATE(15,6,(ROW('macs_ips'!$A$2:$A$403)-ROW(INDEX('macs_ips'!$A$2:$A$403,1,1))+1)/('macs_ips'!$E$2:$E$403=$J$1),ROW(A303))),"")</f>
        <v/>
      </c>
      <c r="B305" s="40">
        <f>IFERROR(INDEX('macs_ips'!$B$2:$B$403,AGGREGATE(15,6,(ROW('macs_ips'!$A$2:$A$403)-ROW(INDEX('macs_ips'!$A$2:$A$403,1,1))+1)/('macs_ips'!$E$2:$E$403=$J$1),ROW(A303))),"")</f>
        <v/>
      </c>
      <c r="C305" s="40">
        <f>IFERROR(INDEX('macs_ips'!$C$2:$C$403,AGGREGATE(15,6,(ROW('macs_ips'!$A$2:$A$403)-ROW(INDEX('macs_ips'!$A$2:$A$403,1,1))+1)/('macs_ips'!$E$2:$E$403=$J$1),ROW(A303))),"")</f>
        <v/>
      </c>
      <c r="D305" s="41">
        <f>IFERROR(INDEX('macs_ips'!$D$2:$D$403,AGGREGATE(15,6,(ROW('macs_ips'!$A$2:$A$403)-ROW(INDEX('macs_ips'!$A$2:$A$403,1,1))+1)/('macs_ips'!$E$2:$E$403=$J$1),ROW(A303))),"")</f>
        <v/>
      </c>
      <c r="E305" s="40">
        <f>IFERROR(INDEX('macs_ips'!$E$2:$E$403,AGGREGATE(15,6,(ROW('macs_ips'!$A$2:$A$403)-ROW(INDEX('macs_ips'!$A$2:$A$403,1,1))+1)/('macs_ips'!$E$2:$E$403=$J$1),ROW(A303))),"")</f>
        <v/>
      </c>
      <c r="F305" s="41">
        <f>IFERROR(INDEX('macs_ips'!$F$2:$F$403,AGGREGATE(15,6,(ROW('macs_ips'!$A$2:$A$403)-ROW(INDEX('macs_ips'!$A$2:$A$403,1,1))+1)/('macs_ips'!$E$2:$E$403=$J$1),ROW(A303))),"")</f>
        <v/>
      </c>
      <c r="G305" s="40">
        <f>IFERROR(INDEX('macs_ips'!$G$2:$G$403,AGGREGATE(15,6,(ROW('macs_ips'!$A$2:$A$403)-ROW(INDEX('macs_ips'!$A$2:$A$403,1,1))+1)/('macs_ips'!$E$2:$E$403=$J$1),ROW(A303))),"")</f>
        <v/>
      </c>
    </row>
    <row r="306">
      <c r="A306" s="40">
        <f>IFERROR(INDEX('macs_ips'!$A$2:$A$403,AGGREGATE(15,6,(ROW('macs_ips'!$A$2:$A$403)-ROW(INDEX('macs_ips'!$A$2:$A$403,1,1))+1)/('macs_ips'!$E$2:$E$403=$J$1),ROW(A304))),"")</f>
        <v/>
      </c>
      <c r="B306" s="40">
        <f>IFERROR(INDEX('macs_ips'!$B$2:$B$403,AGGREGATE(15,6,(ROW('macs_ips'!$A$2:$A$403)-ROW(INDEX('macs_ips'!$A$2:$A$403,1,1))+1)/('macs_ips'!$E$2:$E$403=$J$1),ROW(A304))),"")</f>
        <v/>
      </c>
      <c r="C306" s="40">
        <f>IFERROR(INDEX('macs_ips'!$C$2:$C$403,AGGREGATE(15,6,(ROW('macs_ips'!$A$2:$A$403)-ROW(INDEX('macs_ips'!$A$2:$A$403,1,1))+1)/('macs_ips'!$E$2:$E$403=$J$1),ROW(A304))),"")</f>
        <v/>
      </c>
      <c r="D306" s="41">
        <f>IFERROR(INDEX('macs_ips'!$D$2:$D$403,AGGREGATE(15,6,(ROW('macs_ips'!$A$2:$A$403)-ROW(INDEX('macs_ips'!$A$2:$A$403,1,1))+1)/('macs_ips'!$E$2:$E$403=$J$1),ROW(A304))),"")</f>
        <v/>
      </c>
      <c r="E306" s="40">
        <f>IFERROR(INDEX('macs_ips'!$E$2:$E$403,AGGREGATE(15,6,(ROW('macs_ips'!$A$2:$A$403)-ROW(INDEX('macs_ips'!$A$2:$A$403,1,1))+1)/('macs_ips'!$E$2:$E$403=$J$1),ROW(A304))),"")</f>
        <v/>
      </c>
      <c r="F306" s="41">
        <f>IFERROR(INDEX('macs_ips'!$F$2:$F$403,AGGREGATE(15,6,(ROW('macs_ips'!$A$2:$A$403)-ROW(INDEX('macs_ips'!$A$2:$A$403,1,1))+1)/('macs_ips'!$E$2:$E$403=$J$1),ROW(A304))),"")</f>
        <v/>
      </c>
      <c r="G306" s="40">
        <f>IFERROR(INDEX('macs_ips'!$G$2:$G$403,AGGREGATE(15,6,(ROW('macs_ips'!$A$2:$A$403)-ROW(INDEX('macs_ips'!$A$2:$A$403,1,1))+1)/('macs_ips'!$E$2:$E$403=$J$1),ROW(A304))),"")</f>
        <v/>
      </c>
    </row>
    <row r="307">
      <c r="A307" s="40">
        <f>IFERROR(INDEX('macs_ips'!$A$2:$A$403,AGGREGATE(15,6,(ROW('macs_ips'!$A$2:$A$403)-ROW(INDEX('macs_ips'!$A$2:$A$403,1,1))+1)/('macs_ips'!$E$2:$E$403=$J$1),ROW(A305))),"")</f>
        <v/>
      </c>
      <c r="B307" s="40">
        <f>IFERROR(INDEX('macs_ips'!$B$2:$B$403,AGGREGATE(15,6,(ROW('macs_ips'!$A$2:$A$403)-ROW(INDEX('macs_ips'!$A$2:$A$403,1,1))+1)/('macs_ips'!$E$2:$E$403=$J$1),ROW(A305))),"")</f>
        <v/>
      </c>
      <c r="C307" s="40">
        <f>IFERROR(INDEX('macs_ips'!$C$2:$C$403,AGGREGATE(15,6,(ROW('macs_ips'!$A$2:$A$403)-ROW(INDEX('macs_ips'!$A$2:$A$403,1,1))+1)/('macs_ips'!$E$2:$E$403=$J$1),ROW(A305))),"")</f>
        <v/>
      </c>
      <c r="D307" s="41">
        <f>IFERROR(INDEX('macs_ips'!$D$2:$D$403,AGGREGATE(15,6,(ROW('macs_ips'!$A$2:$A$403)-ROW(INDEX('macs_ips'!$A$2:$A$403,1,1))+1)/('macs_ips'!$E$2:$E$403=$J$1),ROW(A305))),"")</f>
        <v/>
      </c>
      <c r="E307" s="40">
        <f>IFERROR(INDEX('macs_ips'!$E$2:$E$403,AGGREGATE(15,6,(ROW('macs_ips'!$A$2:$A$403)-ROW(INDEX('macs_ips'!$A$2:$A$403,1,1))+1)/('macs_ips'!$E$2:$E$403=$J$1),ROW(A305))),"")</f>
        <v/>
      </c>
      <c r="F307" s="41">
        <f>IFERROR(INDEX('macs_ips'!$F$2:$F$403,AGGREGATE(15,6,(ROW('macs_ips'!$A$2:$A$403)-ROW(INDEX('macs_ips'!$A$2:$A$403,1,1))+1)/('macs_ips'!$E$2:$E$403=$J$1),ROW(A305))),"")</f>
        <v/>
      </c>
      <c r="G307" s="40">
        <f>IFERROR(INDEX('macs_ips'!$G$2:$G$403,AGGREGATE(15,6,(ROW('macs_ips'!$A$2:$A$403)-ROW(INDEX('macs_ips'!$A$2:$A$403,1,1))+1)/('macs_ips'!$E$2:$E$403=$J$1),ROW(A305))),"")</f>
        <v/>
      </c>
    </row>
    <row r="308">
      <c r="A308" s="40">
        <f>IFERROR(INDEX('macs_ips'!$A$2:$A$403,AGGREGATE(15,6,(ROW('macs_ips'!$A$2:$A$403)-ROW(INDEX('macs_ips'!$A$2:$A$403,1,1))+1)/('macs_ips'!$E$2:$E$403=$J$1),ROW(A306))),"")</f>
        <v/>
      </c>
      <c r="B308" s="40">
        <f>IFERROR(INDEX('macs_ips'!$B$2:$B$403,AGGREGATE(15,6,(ROW('macs_ips'!$A$2:$A$403)-ROW(INDEX('macs_ips'!$A$2:$A$403,1,1))+1)/('macs_ips'!$E$2:$E$403=$J$1),ROW(A306))),"")</f>
        <v/>
      </c>
      <c r="C308" s="40">
        <f>IFERROR(INDEX('macs_ips'!$C$2:$C$403,AGGREGATE(15,6,(ROW('macs_ips'!$A$2:$A$403)-ROW(INDEX('macs_ips'!$A$2:$A$403,1,1))+1)/('macs_ips'!$E$2:$E$403=$J$1),ROW(A306))),"")</f>
        <v/>
      </c>
      <c r="D308" s="41">
        <f>IFERROR(INDEX('macs_ips'!$D$2:$D$403,AGGREGATE(15,6,(ROW('macs_ips'!$A$2:$A$403)-ROW(INDEX('macs_ips'!$A$2:$A$403,1,1))+1)/('macs_ips'!$E$2:$E$403=$J$1),ROW(A306))),"")</f>
        <v/>
      </c>
      <c r="E308" s="40">
        <f>IFERROR(INDEX('macs_ips'!$E$2:$E$403,AGGREGATE(15,6,(ROW('macs_ips'!$A$2:$A$403)-ROW(INDEX('macs_ips'!$A$2:$A$403,1,1))+1)/('macs_ips'!$E$2:$E$403=$J$1),ROW(A306))),"")</f>
        <v/>
      </c>
      <c r="F308" s="41">
        <f>IFERROR(INDEX('macs_ips'!$F$2:$F$403,AGGREGATE(15,6,(ROW('macs_ips'!$A$2:$A$403)-ROW(INDEX('macs_ips'!$A$2:$A$403,1,1))+1)/('macs_ips'!$E$2:$E$403=$J$1),ROW(A306))),"")</f>
        <v/>
      </c>
      <c r="G308" s="40">
        <f>IFERROR(INDEX('macs_ips'!$G$2:$G$403,AGGREGATE(15,6,(ROW('macs_ips'!$A$2:$A$403)-ROW(INDEX('macs_ips'!$A$2:$A$403,1,1))+1)/('macs_ips'!$E$2:$E$403=$J$1),ROW(A306))),"")</f>
        <v/>
      </c>
    </row>
    <row r="309">
      <c r="A309" s="40">
        <f>IFERROR(INDEX('macs_ips'!$A$2:$A$403,AGGREGATE(15,6,(ROW('macs_ips'!$A$2:$A$403)-ROW(INDEX('macs_ips'!$A$2:$A$403,1,1))+1)/('macs_ips'!$E$2:$E$403=$J$1),ROW(A307))),"")</f>
        <v/>
      </c>
      <c r="B309" s="40">
        <f>IFERROR(INDEX('macs_ips'!$B$2:$B$403,AGGREGATE(15,6,(ROW('macs_ips'!$A$2:$A$403)-ROW(INDEX('macs_ips'!$A$2:$A$403,1,1))+1)/('macs_ips'!$E$2:$E$403=$J$1),ROW(A307))),"")</f>
        <v/>
      </c>
      <c r="C309" s="40">
        <f>IFERROR(INDEX('macs_ips'!$C$2:$C$403,AGGREGATE(15,6,(ROW('macs_ips'!$A$2:$A$403)-ROW(INDEX('macs_ips'!$A$2:$A$403,1,1))+1)/('macs_ips'!$E$2:$E$403=$J$1),ROW(A307))),"")</f>
        <v/>
      </c>
      <c r="D309" s="41">
        <f>IFERROR(INDEX('macs_ips'!$D$2:$D$403,AGGREGATE(15,6,(ROW('macs_ips'!$A$2:$A$403)-ROW(INDEX('macs_ips'!$A$2:$A$403,1,1))+1)/('macs_ips'!$E$2:$E$403=$J$1),ROW(A307))),"")</f>
        <v/>
      </c>
      <c r="E309" s="40">
        <f>IFERROR(INDEX('macs_ips'!$E$2:$E$403,AGGREGATE(15,6,(ROW('macs_ips'!$A$2:$A$403)-ROW(INDEX('macs_ips'!$A$2:$A$403,1,1))+1)/('macs_ips'!$E$2:$E$403=$J$1),ROW(A307))),"")</f>
        <v/>
      </c>
      <c r="F309" s="41">
        <f>IFERROR(INDEX('macs_ips'!$F$2:$F$403,AGGREGATE(15,6,(ROW('macs_ips'!$A$2:$A$403)-ROW(INDEX('macs_ips'!$A$2:$A$403,1,1))+1)/('macs_ips'!$E$2:$E$403=$J$1),ROW(A307))),"")</f>
        <v/>
      </c>
      <c r="G309" s="40">
        <f>IFERROR(INDEX('macs_ips'!$G$2:$G$403,AGGREGATE(15,6,(ROW('macs_ips'!$A$2:$A$403)-ROW(INDEX('macs_ips'!$A$2:$A$403,1,1))+1)/('macs_ips'!$E$2:$E$403=$J$1),ROW(A307))),"")</f>
        <v/>
      </c>
    </row>
    <row r="310">
      <c r="A310" s="40">
        <f>IFERROR(INDEX('macs_ips'!$A$2:$A$403,AGGREGATE(15,6,(ROW('macs_ips'!$A$2:$A$403)-ROW(INDEX('macs_ips'!$A$2:$A$403,1,1))+1)/('macs_ips'!$E$2:$E$403=$J$1),ROW(A308))),"")</f>
        <v/>
      </c>
      <c r="B310" s="40">
        <f>IFERROR(INDEX('macs_ips'!$B$2:$B$403,AGGREGATE(15,6,(ROW('macs_ips'!$A$2:$A$403)-ROW(INDEX('macs_ips'!$A$2:$A$403,1,1))+1)/('macs_ips'!$E$2:$E$403=$J$1),ROW(A308))),"")</f>
        <v/>
      </c>
      <c r="C310" s="40">
        <f>IFERROR(INDEX('macs_ips'!$C$2:$C$403,AGGREGATE(15,6,(ROW('macs_ips'!$A$2:$A$403)-ROW(INDEX('macs_ips'!$A$2:$A$403,1,1))+1)/('macs_ips'!$E$2:$E$403=$J$1),ROW(A308))),"")</f>
        <v/>
      </c>
      <c r="D310" s="41">
        <f>IFERROR(INDEX('macs_ips'!$D$2:$D$403,AGGREGATE(15,6,(ROW('macs_ips'!$A$2:$A$403)-ROW(INDEX('macs_ips'!$A$2:$A$403,1,1))+1)/('macs_ips'!$E$2:$E$403=$J$1),ROW(A308))),"")</f>
        <v/>
      </c>
      <c r="E310" s="40">
        <f>IFERROR(INDEX('macs_ips'!$E$2:$E$403,AGGREGATE(15,6,(ROW('macs_ips'!$A$2:$A$403)-ROW(INDEX('macs_ips'!$A$2:$A$403,1,1))+1)/('macs_ips'!$E$2:$E$403=$J$1),ROW(A308))),"")</f>
        <v/>
      </c>
      <c r="F310" s="41">
        <f>IFERROR(INDEX('macs_ips'!$F$2:$F$403,AGGREGATE(15,6,(ROW('macs_ips'!$A$2:$A$403)-ROW(INDEX('macs_ips'!$A$2:$A$403,1,1))+1)/('macs_ips'!$E$2:$E$403=$J$1),ROW(A308))),"")</f>
        <v/>
      </c>
      <c r="G310" s="40">
        <f>IFERROR(INDEX('macs_ips'!$G$2:$G$403,AGGREGATE(15,6,(ROW('macs_ips'!$A$2:$A$403)-ROW(INDEX('macs_ips'!$A$2:$A$403,1,1))+1)/('macs_ips'!$E$2:$E$403=$J$1),ROW(A308))),"")</f>
        <v/>
      </c>
    </row>
    <row r="311">
      <c r="A311" s="40">
        <f>IFERROR(INDEX('macs_ips'!$A$2:$A$403,AGGREGATE(15,6,(ROW('macs_ips'!$A$2:$A$403)-ROW(INDEX('macs_ips'!$A$2:$A$403,1,1))+1)/('macs_ips'!$E$2:$E$403=$J$1),ROW(A309))),"")</f>
        <v/>
      </c>
      <c r="B311" s="40">
        <f>IFERROR(INDEX('macs_ips'!$B$2:$B$403,AGGREGATE(15,6,(ROW('macs_ips'!$A$2:$A$403)-ROW(INDEX('macs_ips'!$A$2:$A$403,1,1))+1)/('macs_ips'!$E$2:$E$403=$J$1),ROW(A309))),"")</f>
        <v/>
      </c>
      <c r="C311" s="40">
        <f>IFERROR(INDEX('macs_ips'!$C$2:$C$403,AGGREGATE(15,6,(ROW('macs_ips'!$A$2:$A$403)-ROW(INDEX('macs_ips'!$A$2:$A$403,1,1))+1)/('macs_ips'!$E$2:$E$403=$J$1),ROW(A309))),"")</f>
        <v/>
      </c>
      <c r="D311" s="41">
        <f>IFERROR(INDEX('macs_ips'!$D$2:$D$403,AGGREGATE(15,6,(ROW('macs_ips'!$A$2:$A$403)-ROW(INDEX('macs_ips'!$A$2:$A$403,1,1))+1)/('macs_ips'!$E$2:$E$403=$J$1),ROW(A309))),"")</f>
        <v/>
      </c>
      <c r="E311" s="40">
        <f>IFERROR(INDEX('macs_ips'!$E$2:$E$403,AGGREGATE(15,6,(ROW('macs_ips'!$A$2:$A$403)-ROW(INDEX('macs_ips'!$A$2:$A$403,1,1))+1)/('macs_ips'!$E$2:$E$403=$J$1),ROW(A309))),"")</f>
        <v/>
      </c>
      <c r="F311" s="41">
        <f>IFERROR(INDEX('macs_ips'!$F$2:$F$403,AGGREGATE(15,6,(ROW('macs_ips'!$A$2:$A$403)-ROW(INDEX('macs_ips'!$A$2:$A$403,1,1))+1)/('macs_ips'!$E$2:$E$403=$J$1),ROW(A309))),"")</f>
        <v/>
      </c>
      <c r="G311" s="40">
        <f>IFERROR(INDEX('macs_ips'!$G$2:$G$403,AGGREGATE(15,6,(ROW('macs_ips'!$A$2:$A$403)-ROW(INDEX('macs_ips'!$A$2:$A$403,1,1))+1)/('macs_ips'!$E$2:$E$403=$J$1),ROW(A309))),"")</f>
        <v/>
      </c>
    </row>
    <row r="312">
      <c r="A312" s="40">
        <f>IFERROR(INDEX('macs_ips'!$A$2:$A$403,AGGREGATE(15,6,(ROW('macs_ips'!$A$2:$A$403)-ROW(INDEX('macs_ips'!$A$2:$A$403,1,1))+1)/('macs_ips'!$E$2:$E$403=$J$1),ROW(A310))),"")</f>
        <v/>
      </c>
      <c r="B312" s="40">
        <f>IFERROR(INDEX('macs_ips'!$B$2:$B$403,AGGREGATE(15,6,(ROW('macs_ips'!$A$2:$A$403)-ROW(INDEX('macs_ips'!$A$2:$A$403,1,1))+1)/('macs_ips'!$E$2:$E$403=$J$1),ROW(A310))),"")</f>
        <v/>
      </c>
      <c r="C312" s="40">
        <f>IFERROR(INDEX('macs_ips'!$C$2:$C$403,AGGREGATE(15,6,(ROW('macs_ips'!$A$2:$A$403)-ROW(INDEX('macs_ips'!$A$2:$A$403,1,1))+1)/('macs_ips'!$E$2:$E$403=$J$1),ROW(A310))),"")</f>
        <v/>
      </c>
      <c r="D312" s="41">
        <f>IFERROR(INDEX('macs_ips'!$D$2:$D$403,AGGREGATE(15,6,(ROW('macs_ips'!$A$2:$A$403)-ROW(INDEX('macs_ips'!$A$2:$A$403,1,1))+1)/('macs_ips'!$E$2:$E$403=$J$1),ROW(A310))),"")</f>
        <v/>
      </c>
      <c r="E312" s="40">
        <f>IFERROR(INDEX('macs_ips'!$E$2:$E$403,AGGREGATE(15,6,(ROW('macs_ips'!$A$2:$A$403)-ROW(INDEX('macs_ips'!$A$2:$A$403,1,1))+1)/('macs_ips'!$E$2:$E$403=$J$1),ROW(A310))),"")</f>
        <v/>
      </c>
      <c r="F312" s="41">
        <f>IFERROR(INDEX('macs_ips'!$F$2:$F$403,AGGREGATE(15,6,(ROW('macs_ips'!$A$2:$A$403)-ROW(INDEX('macs_ips'!$A$2:$A$403,1,1))+1)/('macs_ips'!$E$2:$E$403=$J$1),ROW(A310))),"")</f>
        <v/>
      </c>
      <c r="G312" s="40">
        <f>IFERROR(INDEX('macs_ips'!$G$2:$G$403,AGGREGATE(15,6,(ROW('macs_ips'!$A$2:$A$403)-ROW(INDEX('macs_ips'!$A$2:$A$403,1,1))+1)/('macs_ips'!$E$2:$E$403=$J$1),ROW(A310))),"")</f>
        <v/>
      </c>
    </row>
    <row r="313">
      <c r="A313" s="40">
        <f>IFERROR(INDEX('macs_ips'!$A$2:$A$403,AGGREGATE(15,6,(ROW('macs_ips'!$A$2:$A$403)-ROW(INDEX('macs_ips'!$A$2:$A$403,1,1))+1)/('macs_ips'!$E$2:$E$403=$J$1),ROW(A311))),"")</f>
        <v/>
      </c>
      <c r="B313" s="40">
        <f>IFERROR(INDEX('macs_ips'!$B$2:$B$403,AGGREGATE(15,6,(ROW('macs_ips'!$A$2:$A$403)-ROW(INDEX('macs_ips'!$A$2:$A$403,1,1))+1)/('macs_ips'!$E$2:$E$403=$J$1),ROW(A311))),"")</f>
        <v/>
      </c>
      <c r="C313" s="40">
        <f>IFERROR(INDEX('macs_ips'!$C$2:$C$403,AGGREGATE(15,6,(ROW('macs_ips'!$A$2:$A$403)-ROW(INDEX('macs_ips'!$A$2:$A$403,1,1))+1)/('macs_ips'!$E$2:$E$403=$J$1),ROW(A311))),"")</f>
        <v/>
      </c>
      <c r="D313" s="41">
        <f>IFERROR(INDEX('macs_ips'!$D$2:$D$403,AGGREGATE(15,6,(ROW('macs_ips'!$A$2:$A$403)-ROW(INDEX('macs_ips'!$A$2:$A$403,1,1))+1)/('macs_ips'!$E$2:$E$403=$J$1),ROW(A311))),"")</f>
        <v/>
      </c>
      <c r="E313" s="40">
        <f>IFERROR(INDEX('macs_ips'!$E$2:$E$403,AGGREGATE(15,6,(ROW('macs_ips'!$A$2:$A$403)-ROW(INDEX('macs_ips'!$A$2:$A$403,1,1))+1)/('macs_ips'!$E$2:$E$403=$J$1),ROW(A311))),"")</f>
        <v/>
      </c>
      <c r="F313" s="41">
        <f>IFERROR(INDEX('macs_ips'!$F$2:$F$403,AGGREGATE(15,6,(ROW('macs_ips'!$A$2:$A$403)-ROW(INDEX('macs_ips'!$A$2:$A$403,1,1))+1)/('macs_ips'!$E$2:$E$403=$J$1),ROW(A311))),"")</f>
        <v/>
      </c>
      <c r="G313" s="40">
        <f>IFERROR(INDEX('macs_ips'!$G$2:$G$403,AGGREGATE(15,6,(ROW('macs_ips'!$A$2:$A$403)-ROW(INDEX('macs_ips'!$A$2:$A$403,1,1))+1)/('macs_ips'!$E$2:$E$403=$J$1),ROW(A311))),"")</f>
        <v/>
      </c>
    </row>
    <row r="314">
      <c r="A314" s="40">
        <f>IFERROR(INDEX('macs_ips'!$A$2:$A$403,AGGREGATE(15,6,(ROW('macs_ips'!$A$2:$A$403)-ROW(INDEX('macs_ips'!$A$2:$A$403,1,1))+1)/('macs_ips'!$E$2:$E$403=$J$1),ROW(A312))),"")</f>
        <v/>
      </c>
      <c r="B314" s="40">
        <f>IFERROR(INDEX('macs_ips'!$B$2:$B$403,AGGREGATE(15,6,(ROW('macs_ips'!$A$2:$A$403)-ROW(INDEX('macs_ips'!$A$2:$A$403,1,1))+1)/('macs_ips'!$E$2:$E$403=$J$1),ROW(A312))),"")</f>
        <v/>
      </c>
      <c r="C314" s="40">
        <f>IFERROR(INDEX('macs_ips'!$C$2:$C$403,AGGREGATE(15,6,(ROW('macs_ips'!$A$2:$A$403)-ROW(INDEX('macs_ips'!$A$2:$A$403,1,1))+1)/('macs_ips'!$E$2:$E$403=$J$1),ROW(A312))),"")</f>
        <v/>
      </c>
      <c r="D314" s="41">
        <f>IFERROR(INDEX('macs_ips'!$D$2:$D$403,AGGREGATE(15,6,(ROW('macs_ips'!$A$2:$A$403)-ROW(INDEX('macs_ips'!$A$2:$A$403,1,1))+1)/('macs_ips'!$E$2:$E$403=$J$1),ROW(A312))),"")</f>
        <v/>
      </c>
      <c r="E314" s="40">
        <f>IFERROR(INDEX('macs_ips'!$E$2:$E$403,AGGREGATE(15,6,(ROW('macs_ips'!$A$2:$A$403)-ROW(INDEX('macs_ips'!$A$2:$A$403,1,1))+1)/('macs_ips'!$E$2:$E$403=$J$1),ROW(A312))),"")</f>
        <v/>
      </c>
      <c r="F314" s="41">
        <f>IFERROR(INDEX('macs_ips'!$F$2:$F$403,AGGREGATE(15,6,(ROW('macs_ips'!$A$2:$A$403)-ROW(INDEX('macs_ips'!$A$2:$A$403,1,1))+1)/('macs_ips'!$E$2:$E$403=$J$1),ROW(A312))),"")</f>
        <v/>
      </c>
      <c r="G314" s="40">
        <f>IFERROR(INDEX('macs_ips'!$G$2:$G$403,AGGREGATE(15,6,(ROW('macs_ips'!$A$2:$A$403)-ROW(INDEX('macs_ips'!$A$2:$A$403,1,1))+1)/('macs_ips'!$E$2:$E$403=$J$1),ROW(A312))),"")</f>
        <v/>
      </c>
    </row>
    <row r="315">
      <c r="A315" s="40">
        <f>IFERROR(INDEX('macs_ips'!$A$2:$A$403,AGGREGATE(15,6,(ROW('macs_ips'!$A$2:$A$403)-ROW(INDEX('macs_ips'!$A$2:$A$403,1,1))+1)/('macs_ips'!$E$2:$E$403=$J$1),ROW(A313))),"")</f>
        <v/>
      </c>
      <c r="B315" s="40">
        <f>IFERROR(INDEX('macs_ips'!$B$2:$B$403,AGGREGATE(15,6,(ROW('macs_ips'!$A$2:$A$403)-ROW(INDEX('macs_ips'!$A$2:$A$403,1,1))+1)/('macs_ips'!$E$2:$E$403=$J$1),ROW(A313))),"")</f>
        <v/>
      </c>
      <c r="C315" s="40">
        <f>IFERROR(INDEX('macs_ips'!$C$2:$C$403,AGGREGATE(15,6,(ROW('macs_ips'!$A$2:$A$403)-ROW(INDEX('macs_ips'!$A$2:$A$403,1,1))+1)/('macs_ips'!$E$2:$E$403=$J$1),ROW(A313))),"")</f>
        <v/>
      </c>
      <c r="D315" s="41">
        <f>IFERROR(INDEX('macs_ips'!$D$2:$D$403,AGGREGATE(15,6,(ROW('macs_ips'!$A$2:$A$403)-ROW(INDEX('macs_ips'!$A$2:$A$403,1,1))+1)/('macs_ips'!$E$2:$E$403=$J$1),ROW(A313))),"")</f>
        <v/>
      </c>
      <c r="E315" s="40">
        <f>IFERROR(INDEX('macs_ips'!$E$2:$E$403,AGGREGATE(15,6,(ROW('macs_ips'!$A$2:$A$403)-ROW(INDEX('macs_ips'!$A$2:$A$403,1,1))+1)/('macs_ips'!$E$2:$E$403=$J$1),ROW(A313))),"")</f>
        <v/>
      </c>
      <c r="F315" s="41">
        <f>IFERROR(INDEX('macs_ips'!$F$2:$F$403,AGGREGATE(15,6,(ROW('macs_ips'!$A$2:$A$403)-ROW(INDEX('macs_ips'!$A$2:$A$403,1,1))+1)/('macs_ips'!$E$2:$E$403=$J$1),ROW(A313))),"")</f>
        <v/>
      </c>
      <c r="G315" s="40">
        <f>IFERROR(INDEX('macs_ips'!$G$2:$G$403,AGGREGATE(15,6,(ROW('macs_ips'!$A$2:$A$403)-ROW(INDEX('macs_ips'!$A$2:$A$403,1,1))+1)/('macs_ips'!$E$2:$E$403=$J$1),ROW(A313))),"")</f>
        <v/>
      </c>
    </row>
    <row r="316">
      <c r="A316" s="40">
        <f>IFERROR(INDEX('macs_ips'!$A$2:$A$403,AGGREGATE(15,6,(ROW('macs_ips'!$A$2:$A$403)-ROW(INDEX('macs_ips'!$A$2:$A$403,1,1))+1)/('macs_ips'!$E$2:$E$403=$J$1),ROW(A314))),"")</f>
        <v/>
      </c>
      <c r="B316" s="40">
        <f>IFERROR(INDEX('macs_ips'!$B$2:$B$403,AGGREGATE(15,6,(ROW('macs_ips'!$A$2:$A$403)-ROW(INDEX('macs_ips'!$A$2:$A$403,1,1))+1)/('macs_ips'!$E$2:$E$403=$J$1),ROW(A314))),"")</f>
        <v/>
      </c>
      <c r="C316" s="40">
        <f>IFERROR(INDEX('macs_ips'!$C$2:$C$403,AGGREGATE(15,6,(ROW('macs_ips'!$A$2:$A$403)-ROW(INDEX('macs_ips'!$A$2:$A$403,1,1))+1)/('macs_ips'!$E$2:$E$403=$J$1),ROW(A314))),"")</f>
        <v/>
      </c>
      <c r="D316" s="41">
        <f>IFERROR(INDEX('macs_ips'!$D$2:$D$403,AGGREGATE(15,6,(ROW('macs_ips'!$A$2:$A$403)-ROW(INDEX('macs_ips'!$A$2:$A$403,1,1))+1)/('macs_ips'!$E$2:$E$403=$J$1),ROW(A314))),"")</f>
        <v/>
      </c>
      <c r="E316" s="40">
        <f>IFERROR(INDEX('macs_ips'!$E$2:$E$403,AGGREGATE(15,6,(ROW('macs_ips'!$A$2:$A$403)-ROW(INDEX('macs_ips'!$A$2:$A$403,1,1))+1)/('macs_ips'!$E$2:$E$403=$J$1),ROW(A314))),"")</f>
        <v/>
      </c>
      <c r="F316" s="41">
        <f>IFERROR(INDEX('macs_ips'!$F$2:$F$403,AGGREGATE(15,6,(ROW('macs_ips'!$A$2:$A$403)-ROW(INDEX('macs_ips'!$A$2:$A$403,1,1))+1)/('macs_ips'!$E$2:$E$403=$J$1),ROW(A314))),"")</f>
        <v/>
      </c>
      <c r="G316" s="40">
        <f>IFERROR(INDEX('macs_ips'!$G$2:$G$403,AGGREGATE(15,6,(ROW('macs_ips'!$A$2:$A$403)-ROW(INDEX('macs_ips'!$A$2:$A$403,1,1))+1)/('macs_ips'!$E$2:$E$403=$J$1),ROW(A314))),"")</f>
        <v/>
      </c>
    </row>
    <row r="317">
      <c r="A317" s="40">
        <f>IFERROR(INDEX('macs_ips'!$A$2:$A$403,AGGREGATE(15,6,(ROW('macs_ips'!$A$2:$A$403)-ROW(INDEX('macs_ips'!$A$2:$A$403,1,1))+1)/('macs_ips'!$E$2:$E$403=$J$1),ROW(A315))),"")</f>
        <v/>
      </c>
      <c r="B317" s="40">
        <f>IFERROR(INDEX('macs_ips'!$B$2:$B$403,AGGREGATE(15,6,(ROW('macs_ips'!$A$2:$A$403)-ROW(INDEX('macs_ips'!$A$2:$A$403,1,1))+1)/('macs_ips'!$E$2:$E$403=$J$1),ROW(A315))),"")</f>
        <v/>
      </c>
      <c r="C317" s="40">
        <f>IFERROR(INDEX('macs_ips'!$C$2:$C$403,AGGREGATE(15,6,(ROW('macs_ips'!$A$2:$A$403)-ROW(INDEX('macs_ips'!$A$2:$A$403,1,1))+1)/('macs_ips'!$E$2:$E$403=$J$1),ROW(A315))),"")</f>
        <v/>
      </c>
      <c r="D317" s="41">
        <f>IFERROR(INDEX('macs_ips'!$D$2:$D$403,AGGREGATE(15,6,(ROW('macs_ips'!$A$2:$A$403)-ROW(INDEX('macs_ips'!$A$2:$A$403,1,1))+1)/('macs_ips'!$E$2:$E$403=$J$1),ROW(A315))),"")</f>
        <v/>
      </c>
      <c r="E317" s="40">
        <f>IFERROR(INDEX('macs_ips'!$E$2:$E$403,AGGREGATE(15,6,(ROW('macs_ips'!$A$2:$A$403)-ROW(INDEX('macs_ips'!$A$2:$A$403,1,1))+1)/('macs_ips'!$E$2:$E$403=$J$1),ROW(A315))),"")</f>
        <v/>
      </c>
      <c r="F317" s="41">
        <f>IFERROR(INDEX('macs_ips'!$F$2:$F$403,AGGREGATE(15,6,(ROW('macs_ips'!$A$2:$A$403)-ROW(INDEX('macs_ips'!$A$2:$A$403,1,1))+1)/('macs_ips'!$E$2:$E$403=$J$1),ROW(A315))),"")</f>
        <v/>
      </c>
      <c r="G317" s="40">
        <f>IFERROR(INDEX('macs_ips'!$G$2:$G$403,AGGREGATE(15,6,(ROW('macs_ips'!$A$2:$A$403)-ROW(INDEX('macs_ips'!$A$2:$A$403,1,1))+1)/('macs_ips'!$E$2:$E$403=$J$1),ROW(A315))),"")</f>
        <v/>
      </c>
    </row>
    <row r="318">
      <c r="A318" s="40">
        <f>IFERROR(INDEX('macs_ips'!$A$2:$A$403,AGGREGATE(15,6,(ROW('macs_ips'!$A$2:$A$403)-ROW(INDEX('macs_ips'!$A$2:$A$403,1,1))+1)/('macs_ips'!$E$2:$E$403=$J$1),ROW(A316))),"")</f>
        <v/>
      </c>
      <c r="B318" s="40">
        <f>IFERROR(INDEX('macs_ips'!$B$2:$B$403,AGGREGATE(15,6,(ROW('macs_ips'!$A$2:$A$403)-ROW(INDEX('macs_ips'!$A$2:$A$403,1,1))+1)/('macs_ips'!$E$2:$E$403=$J$1),ROW(A316))),"")</f>
        <v/>
      </c>
      <c r="C318" s="40">
        <f>IFERROR(INDEX('macs_ips'!$C$2:$C$403,AGGREGATE(15,6,(ROW('macs_ips'!$A$2:$A$403)-ROW(INDEX('macs_ips'!$A$2:$A$403,1,1))+1)/('macs_ips'!$E$2:$E$403=$J$1),ROW(A316))),"")</f>
        <v/>
      </c>
      <c r="D318" s="41">
        <f>IFERROR(INDEX('macs_ips'!$D$2:$D$403,AGGREGATE(15,6,(ROW('macs_ips'!$A$2:$A$403)-ROW(INDEX('macs_ips'!$A$2:$A$403,1,1))+1)/('macs_ips'!$E$2:$E$403=$J$1),ROW(A316))),"")</f>
        <v/>
      </c>
      <c r="E318" s="40">
        <f>IFERROR(INDEX('macs_ips'!$E$2:$E$403,AGGREGATE(15,6,(ROW('macs_ips'!$A$2:$A$403)-ROW(INDEX('macs_ips'!$A$2:$A$403,1,1))+1)/('macs_ips'!$E$2:$E$403=$J$1),ROW(A316))),"")</f>
        <v/>
      </c>
      <c r="F318" s="41">
        <f>IFERROR(INDEX('macs_ips'!$F$2:$F$403,AGGREGATE(15,6,(ROW('macs_ips'!$A$2:$A$403)-ROW(INDEX('macs_ips'!$A$2:$A$403,1,1))+1)/('macs_ips'!$E$2:$E$403=$J$1),ROW(A316))),"")</f>
        <v/>
      </c>
      <c r="G318" s="40">
        <f>IFERROR(INDEX('macs_ips'!$G$2:$G$403,AGGREGATE(15,6,(ROW('macs_ips'!$A$2:$A$403)-ROW(INDEX('macs_ips'!$A$2:$A$403,1,1))+1)/('macs_ips'!$E$2:$E$403=$J$1),ROW(A316))),"")</f>
        <v/>
      </c>
    </row>
    <row r="319">
      <c r="A319" s="40">
        <f>IFERROR(INDEX('macs_ips'!$A$2:$A$403,AGGREGATE(15,6,(ROW('macs_ips'!$A$2:$A$403)-ROW(INDEX('macs_ips'!$A$2:$A$403,1,1))+1)/('macs_ips'!$E$2:$E$403=$J$1),ROW(A317))),"")</f>
        <v/>
      </c>
      <c r="B319" s="40">
        <f>IFERROR(INDEX('macs_ips'!$B$2:$B$403,AGGREGATE(15,6,(ROW('macs_ips'!$A$2:$A$403)-ROW(INDEX('macs_ips'!$A$2:$A$403,1,1))+1)/('macs_ips'!$E$2:$E$403=$J$1),ROW(A317))),"")</f>
        <v/>
      </c>
      <c r="C319" s="40">
        <f>IFERROR(INDEX('macs_ips'!$C$2:$C$403,AGGREGATE(15,6,(ROW('macs_ips'!$A$2:$A$403)-ROW(INDEX('macs_ips'!$A$2:$A$403,1,1))+1)/('macs_ips'!$E$2:$E$403=$J$1),ROW(A317))),"")</f>
        <v/>
      </c>
      <c r="D319" s="41">
        <f>IFERROR(INDEX('macs_ips'!$D$2:$D$403,AGGREGATE(15,6,(ROW('macs_ips'!$A$2:$A$403)-ROW(INDEX('macs_ips'!$A$2:$A$403,1,1))+1)/('macs_ips'!$E$2:$E$403=$J$1),ROW(A317))),"")</f>
        <v/>
      </c>
      <c r="E319" s="40">
        <f>IFERROR(INDEX('macs_ips'!$E$2:$E$403,AGGREGATE(15,6,(ROW('macs_ips'!$A$2:$A$403)-ROW(INDEX('macs_ips'!$A$2:$A$403,1,1))+1)/('macs_ips'!$E$2:$E$403=$J$1),ROW(A317))),"")</f>
        <v/>
      </c>
      <c r="F319" s="41">
        <f>IFERROR(INDEX('macs_ips'!$F$2:$F$403,AGGREGATE(15,6,(ROW('macs_ips'!$A$2:$A$403)-ROW(INDEX('macs_ips'!$A$2:$A$403,1,1))+1)/('macs_ips'!$E$2:$E$403=$J$1),ROW(A317))),"")</f>
        <v/>
      </c>
      <c r="G319" s="40">
        <f>IFERROR(INDEX('macs_ips'!$G$2:$G$403,AGGREGATE(15,6,(ROW('macs_ips'!$A$2:$A$403)-ROW(INDEX('macs_ips'!$A$2:$A$403,1,1))+1)/('macs_ips'!$E$2:$E$403=$J$1),ROW(A317))),"")</f>
        <v/>
      </c>
    </row>
    <row r="320">
      <c r="A320" s="40">
        <f>IFERROR(INDEX('macs_ips'!$A$2:$A$403,AGGREGATE(15,6,(ROW('macs_ips'!$A$2:$A$403)-ROW(INDEX('macs_ips'!$A$2:$A$403,1,1))+1)/('macs_ips'!$E$2:$E$403=$J$1),ROW(A318))),"")</f>
        <v/>
      </c>
      <c r="B320" s="40">
        <f>IFERROR(INDEX('macs_ips'!$B$2:$B$403,AGGREGATE(15,6,(ROW('macs_ips'!$A$2:$A$403)-ROW(INDEX('macs_ips'!$A$2:$A$403,1,1))+1)/('macs_ips'!$E$2:$E$403=$J$1),ROW(A318))),"")</f>
        <v/>
      </c>
      <c r="C320" s="40">
        <f>IFERROR(INDEX('macs_ips'!$C$2:$C$403,AGGREGATE(15,6,(ROW('macs_ips'!$A$2:$A$403)-ROW(INDEX('macs_ips'!$A$2:$A$403,1,1))+1)/('macs_ips'!$E$2:$E$403=$J$1),ROW(A318))),"")</f>
        <v/>
      </c>
      <c r="D320" s="41">
        <f>IFERROR(INDEX('macs_ips'!$D$2:$D$403,AGGREGATE(15,6,(ROW('macs_ips'!$A$2:$A$403)-ROW(INDEX('macs_ips'!$A$2:$A$403,1,1))+1)/('macs_ips'!$E$2:$E$403=$J$1),ROW(A318))),"")</f>
        <v/>
      </c>
      <c r="E320" s="40">
        <f>IFERROR(INDEX('macs_ips'!$E$2:$E$403,AGGREGATE(15,6,(ROW('macs_ips'!$A$2:$A$403)-ROW(INDEX('macs_ips'!$A$2:$A$403,1,1))+1)/('macs_ips'!$E$2:$E$403=$J$1),ROW(A318))),"")</f>
        <v/>
      </c>
      <c r="F320" s="41">
        <f>IFERROR(INDEX('macs_ips'!$F$2:$F$403,AGGREGATE(15,6,(ROW('macs_ips'!$A$2:$A$403)-ROW(INDEX('macs_ips'!$A$2:$A$403,1,1))+1)/('macs_ips'!$E$2:$E$403=$J$1),ROW(A318))),"")</f>
        <v/>
      </c>
      <c r="G320" s="40">
        <f>IFERROR(INDEX('macs_ips'!$G$2:$G$403,AGGREGATE(15,6,(ROW('macs_ips'!$A$2:$A$403)-ROW(INDEX('macs_ips'!$A$2:$A$403,1,1))+1)/('macs_ips'!$E$2:$E$403=$J$1),ROW(A318))),"")</f>
        <v/>
      </c>
    </row>
    <row r="321">
      <c r="A321" s="40">
        <f>IFERROR(INDEX('macs_ips'!$A$2:$A$403,AGGREGATE(15,6,(ROW('macs_ips'!$A$2:$A$403)-ROW(INDEX('macs_ips'!$A$2:$A$403,1,1))+1)/('macs_ips'!$E$2:$E$403=$J$1),ROW(A319))),"")</f>
        <v/>
      </c>
      <c r="B321" s="40">
        <f>IFERROR(INDEX('macs_ips'!$B$2:$B$403,AGGREGATE(15,6,(ROW('macs_ips'!$A$2:$A$403)-ROW(INDEX('macs_ips'!$A$2:$A$403,1,1))+1)/('macs_ips'!$E$2:$E$403=$J$1),ROW(A319))),"")</f>
        <v/>
      </c>
      <c r="C321" s="40">
        <f>IFERROR(INDEX('macs_ips'!$C$2:$C$403,AGGREGATE(15,6,(ROW('macs_ips'!$A$2:$A$403)-ROW(INDEX('macs_ips'!$A$2:$A$403,1,1))+1)/('macs_ips'!$E$2:$E$403=$J$1),ROW(A319))),"")</f>
        <v/>
      </c>
      <c r="D321" s="41">
        <f>IFERROR(INDEX('macs_ips'!$D$2:$D$403,AGGREGATE(15,6,(ROW('macs_ips'!$A$2:$A$403)-ROW(INDEX('macs_ips'!$A$2:$A$403,1,1))+1)/('macs_ips'!$E$2:$E$403=$J$1),ROW(A319))),"")</f>
        <v/>
      </c>
      <c r="E321" s="40">
        <f>IFERROR(INDEX('macs_ips'!$E$2:$E$403,AGGREGATE(15,6,(ROW('macs_ips'!$A$2:$A$403)-ROW(INDEX('macs_ips'!$A$2:$A$403,1,1))+1)/('macs_ips'!$E$2:$E$403=$J$1),ROW(A319))),"")</f>
        <v/>
      </c>
      <c r="F321" s="41">
        <f>IFERROR(INDEX('macs_ips'!$F$2:$F$403,AGGREGATE(15,6,(ROW('macs_ips'!$A$2:$A$403)-ROW(INDEX('macs_ips'!$A$2:$A$403,1,1))+1)/('macs_ips'!$E$2:$E$403=$J$1),ROW(A319))),"")</f>
        <v/>
      </c>
      <c r="G321" s="40">
        <f>IFERROR(INDEX('macs_ips'!$G$2:$G$403,AGGREGATE(15,6,(ROW('macs_ips'!$A$2:$A$403)-ROW(INDEX('macs_ips'!$A$2:$A$403,1,1))+1)/('macs_ips'!$E$2:$E$403=$J$1),ROW(A319))),"")</f>
        <v/>
      </c>
    </row>
    <row r="322">
      <c r="A322" s="40">
        <f>IFERROR(INDEX('macs_ips'!$A$2:$A$403,AGGREGATE(15,6,(ROW('macs_ips'!$A$2:$A$403)-ROW(INDEX('macs_ips'!$A$2:$A$403,1,1))+1)/('macs_ips'!$E$2:$E$403=$J$1),ROW(A320))),"")</f>
        <v/>
      </c>
      <c r="B322" s="40">
        <f>IFERROR(INDEX('macs_ips'!$B$2:$B$403,AGGREGATE(15,6,(ROW('macs_ips'!$A$2:$A$403)-ROW(INDEX('macs_ips'!$A$2:$A$403,1,1))+1)/('macs_ips'!$E$2:$E$403=$J$1),ROW(A320))),"")</f>
        <v/>
      </c>
      <c r="C322" s="40">
        <f>IFERROR(INDEX('macs_ips'!$C$2:$C$403,AGGREGATE(15,6,(ROW('macs_ips'!$A$2:$A$403)-ROW(INDEX('macs_ips'!$A$2:$A$403,1,1))+1)/('macs_ips'!$E$2:$E$403=$J$1),ROW(A320))),"")</f>
        <v/>
      </c>
      <c r="D322" s="41">
        <f>IFERROR(INDEX('macs_ips'!$D$2:$D$403,AGGREGATE(15,6,(ROW('macs_ips'!$A$2:$A$403)-ROW(INDEX('macs_ips'!$A$2:$A$403,1,1))+1)/('macs_ips'!$E$2:$E$403=$J$1),ROW(A320))),"")</f>
        <v/>
      </c>
      <c r="E322" s="40">
        <f>IFERROR(INDEX('macs_ips'!$E$2:$E$403,AGGREGATE(15,6,(ROW('macs_ips'!$A$2:$A$403)-ROW(INDEX('macs_ips'!$A$2:$A$403,1,1))+1)/('macs_ips'!$E$2:$E$403=$J$1),ROW(A320))),"")</f>
        <v/>
      </c>
      <c r="F322" s="41">
        <f>IFERROR(INDEX('macs_ips'!$F$2:$F$403,AGGREGATE(15,6,(ROW('macs_ips'!$A$2:$A$403)-ROW(INDEX('macs_ips'!$A$2:$A$403,1,1))+1)/('macs_ips'!$E$2:$E$403=$J$1),ROW(A320))),"")</f>
        <v/>
      </c>
      <c r="G322" s="40">
        <f>IFERROR(INDEX('macs_ips'!$G$2:$G$403,AGGREGATE(15,6,(ROW('macs_ips'!$A$2:$A$403)-ROW(INDEX('macs_ips'!$A$2:$A$403,1,1))+1)/('macs_ips'!$E$2:$E$403=$J$1),ROW(A320))),"")</f>
        <v/>
      </c>
    </row>
    <row r="323">
      <c r="A323" s="40">
        <f>IFERROR(INDEX('macs_ips'!$A$2:$A$403,AGGREGATE(15,6,(ROW('macs_ips'!$A$2:$A$403)-ROW(INDEX('macs_ips'!$A$2:$A$403,1,1))+1)/('macs_ips'!$E$2:$E$403=$J$1),ROW(A321))),"")</f>
        <v/>
      </c>
      <c r="B323" s="40">
        <f>IFERROR(INDEX('macs_ips'!$B$2:$B$403,AGGREGATE(15,6,(ROW('macs_ips'!$A$2:$A$403)-ROW(INDEX('macs_ips'!$A$2:$A$403,1,1))+1)/('macs_ips'!$E$2:$E$403=$J$1),ROW(A321))),"")</f>
        <v/>
      </c>
      <c r="C323" s="40">
        <f>IFERROR(INDEX('macs_ips'!$C$2:$C$403,AGGREGATE(15,6,(ROW('macs_ips'!$A$2:$A$403)-ROW(INDEX('macs_ips'!$A$2:$A$403,1,1))+1)/('macs_ips'!$E$2:$E$403=$J$1),ROW(A321))),"")</f>
        <v/>
      </c>
      <c r="D323" s="41">
        <f>IFERROR(INDEX('macs_ips'!$D$2:$D$403,AGGREGATE(15,6,(ROW('macs_ips'!$A$2:$A$403)-ROW(INDEX('macs_ips'!$A$2:$A$403,1,1))+1)/('macs_ips'!$E$2:$E$403=$J$1),ROW(A321))),"")</f>
        <v/>
      </c>
      <c r="E323" s="40">
        <f>IFERROR(INDEX('macs_ips'!$E$2:$E$403,AGGREGATE(15,6,(ROW('macs_ips'!$A$2:$A$403)-ROW(INDEX('macs_ips'!$A$2:$A$403,1,1))+1)/('macs_ips'!$E$2:$E$403=$J$1),ROW(A321))),"")</f>
        <v/>
      </c>
      <c r="F323" s="41">
        <f>IFERROR(INDEX('macs_ips'!$F$2:$F$403,AGGREGATE(15,6,(ROW('macs_ips'!$A$2:$A$403)-ROW(INDEX('macs_ips'!$A$2:$A$403,1,1))+1)/('macs_ips'!$E$2:$E$403=$J$1),ROW(A321))),"")</f>
        <v/>
      </c>
      <c r="G323" s="40">
        <f>IFERROR(INDEX('macs_ips'!$G$2:$G$403,AGGREGATE(15,6,(ROW('macs_ips'!$A$2:$A$403)-ROW(INDEX('macs_ips'!$A$2:$A$403,1,1))+1)/('macs_ips'!$E$2:$E$403=$J$1),ROW(A321))),"")</f>
        <v/>
      </c>
    </row>
    <row r="324">
      <c r="A324" s="40">
        <f>IFERROR(INDEX('macs_ips'!$A$2:$A$403,AGGREGATE(15,6,(ROW('macs_ips'!$A$2:$A$403)-ROW(INDEX('macs_ips'!$A$2:$A$403,1,1))+1)/('macs_ips'!$E$2:$E$403=$J$1),ROW(A322))),"")</f>
        <v/>
      </c>
      <c r="B324" s="40">
        <f>IFERROR(INDEX('macs_ips'!$B$2:$B$403,AGGREGATE(15,6,(ROW('macs_ips'!$A$2:$A$403)-ROW(INDEX('macs_ips'!$A$2:$A$403,1,1))+1)/('macs_ips'!$E$2:$E$403=$J$1),ROW(A322))),"")</f>
        <v/>
      </c>
      <c r="C324" s="40">
        <f>IFERROR(INDEX('macs_ips'!$C$2:$C$403,AGGREGATE(15,6,(ROW('macs_ips'!$A$2:$A$403)-ROW(INDEX('macs_ips'!$A$2:$A$403,1,1))+1)/('macs_ips'!$E$2:$E$403=$J$1),ROW(A322))),"")</f>
        <v/>
      </c>
      <c r="D324" s="41">
        <f>IFERROR(INDEX('macs_ips'!$D$2:$D$403,AGGREGATE(15,6,(ROW('macs_ips'!$A$2:$A$403)-ROW(INDEX('macs_ips'!$A$2:$A$403,1,1))+1)/('macs_ips'!$E$2:$E$403=$J$1),ROW(A322))),"")</f>
        <v/>
      </c>
      <c r="E324" s="40">
        <f>IFERROR(INDEX('macs_ips'!$E$2:$E$403,AGGREGATE(15,6,(ROW('macs_ips'!$A$2:$A$403)-ROW(INDEX('macs_ips'!$A$2:$A$403,1,1))+1)/('macs_ips'!$E$2:$E$403=$J$1),ROW(A322))),"")</f>
        <v/>
      </c>
      <c r="F324" s="41">
        <f>IFERROR(INDEX('macs_ips'!$F$2:$F$403,AGGREGATE(15,6,(ROW('macs_ips'!$A$2:$A$403)-ROW(INDEX('macs_ips'!$A$2:$A$403,1,1))+1)/('macs_ips'!$E$2:$E$403=$J$1),ROW(A322))),"")</f>
        <v/>
      </c>
      <c r="G324" s="40">
        <f>IFERROR(INDEX('macs_ips'!$G$2:$G$403,AGGREGATE(15,6,(ROW('macs_ips'!$A$2:$A$403)-ROW(INDEX('macs_ips'!$A$2:$A$403,1,1))+1)/('macs_ips'!$E$2:$E$403=$J$1),ROW(A322))),"")</f>
        <v/>
      </c>
    </row>
    <row r="325">
      <c r="A325" s="40">
        <f>IFERROR(INDEX('macs_ips'!$A$2:$A$403,AGGREGATE(15,6,(ROW('macs_ips'!$A$2:$A$403)-ROW(INDEX('macs_ips'!$A$2:$A$403,1,1))+1)/('macs_ips'!$E$2:$E$403=$J$1),ROW(A323))),"")</f>
        <v/>
      </c>
      <c r="B325" s="40">
        <f>IFERROR(INDEX('macs_ips'!$B$2:$B$403,AGGREGATE(15,6,(ROW('macs_ips'!$A$2:$A$403)-ROW(INDEX('macs_ips'!$A$2:$A$403,1,1))+1)/('macs_ips'!$E$2:$E$403=$J$1),ROW(A323))),"")</f>
        <v/>
      </c>
      <c r="C325" s="40">
        <f>IFERROR(INDEX('macs_ips'!$C$2:$C$403,AGGREGATE(15,6,(ROW('macs_ips'!$A$2:$A$403)-ROW(INDEX('macs_ips'!$A$2:$A$403,1,1))+1)/('macs_ips'!$E$2:$E$403=$J$1),ROW(A323))),"")</f>
        <v/>
      </c>
      <c r="D325" s="41">
        <f>IFERROR(INDEX('macs_ips'!$D$2:$D$403,AGGREGATE(15,6,(ROW('macs_ips'!$A$2:$A$403)-ROW(INDEX('macs_ips'!$A$2:$A$403,1,1))+1)/('macs_ips'!$E$2:$E$403=$J$1),ROW(A323))),"")</f>
        <v/>
      </c>
      <c r="E325" s="40">
        <f>IFERROR(INDEX('macs_ips'!$E$2:$E$403,AGGREGATE(15,6,(ROW('macs_ips'!$A$2:$A$403)-ROW(INDEX('macs_ips'!$A$2:$A$403,1,1))+1)/('macs_ips'!$E$2:$E$403=$J$1),ROW(A323))),"")</f>
        <v/>
      </c>
      <c r="F325" s="41">
        <f>IFERROR(INDEX('macs_ips'!$F$2:$F$403,AGGREGATE(15,6,(ROW('macs_ips'!$A$2:$A$403)-ROW(INDEX('macs_ips'!$A$2:$A$403,1,1))+1)/('macs_ips'!$E$2:$E$403=$J$1),ROW(A323))),"")</f>
        <v/>
      </c>
      <c r="G325" s="40">
        <f>IFERROR(INDEX('macs_ips'!$G$2:$G$403,AGGREGATE(15,6,(ROW('macs_ips'!$A$2:$A$403)-ROW(INDEX('macs_ips'!$A$2:$A$403,1,1))+1)/('macs_ips'!$E$2:$E$403=$J$1),ROW(A323))),"")</f>
        <v/>
      </c>
    </row>
    <row r="326">
      <c r="A326" s="40">
        <f>IFERROR(INDEX('macs_ips'!$A$2:$A$403,AGGREGATE(15,6,(ROW('macs_ips'!$A$2:$A$403)-ROW(INDEX('macs_ips'!$A$2:$A$403,1,1))+1)/('macs_ips'!$E$2:$E$403=$J$1),ROW(A324))),"")</f>
        <v/>
      </c>
      <c r="B326" s="40">
        <f>IFERROR(INDEX('macs_ips'!$B$2:$B$403,AGGREGATE(15,6,(ROW('macs_ips'!$A$2:$A$403)-ROW(INDEX('macs_ips'!$A$2:$A$403,1,1))+1)/('macs_ips'!$E$2:$E$403=$J$1),ROW(A324))),"")</f>
        <v/>
      </c>
      <c r="C326" s="40">
        <f>IFERROR(INDEX('macs_ips'!$C$2:$C$403,AGGREGATE(15,6,(ROW('macs_ips'!$A$2:$A$403)-ROW(INDEX('macs_ips'!$A$2:$A$403,1,1))+1)/('macs_ips'!$E$2:$E$403=$J$1),ROW(A324))),"")</f>
        <v/>
      </c>
      <c r="D326" s="41">
        <f>IFERROR(INDEX('macs_ips'!$D$2:$D$403,AGGREGATE(15,6,(ROW('macs_ips'!$A$2:$A$403)-ROW(INDEX('macs_ips'!$A$2:$A$403,1,1))+1)/('macs_ips'!$E$2:$E$403=$J$1),ROW(A324))),"")</f>
        <v/>
      </c>
      <c r="E326" s="40">
        <f>IFERROR(INDEX('macs_ips'!$E$2:$E$403,AGGREGATE(15,6,(ROW('macs_ips'!$A$2:$A$403)-ROW(INDEX('macs_ips'!$A$2:$A$403,1,1))+1)/('macs_ips'!$E$2:$E$403=$J$1),ROW(A324))),"")</f>
        <v/>
      </c>
      <c r="F326" s="41">
        <f>IFERROR(INDEX('macs_ips'!$F$2:$F$403,AGGREGATE(15,6,(ROW('macs_ips'!$A$2:$A$403)-ROW(INDEX('macs_ips'!$A$2:$A$403,1,1))+1)/('macs_ips'!$E$2:$E$403=$J$1),ROW(A324))),"")</f>
        <v/>
      </c>
      <c r="G326" s="40">
        <f>IFERROR(INDEX('macs_ips'!$G$2:$G$403,AGGREGATE(15,6,(ROW('macs_ips'!$A$2:$A$403)-ROW(INDEX('macs_ips'!$A$2:$A$403,1,1))+1)/('macs_ips'!$E$2:$E$403=$J$1),ROW(A324))),"")</f>
        <v/>
      </c>
    </row>
    <row r="327">
      <c r="A327" s="40">
        <f>IFERROR(INDEX('macs_ips'!$A$2:$A$403,AGGREGATE(15,6,(ROW('macs_ips'!$A$2:$A$403)-ROW(INDEX('macs_ips'!$A$2:$A$403,1,1))+1)/('macs_ips'!$E$2:$E$403=$J$1),ROW(A325))),"")</f>
        <v/>
      </c>
      <c r="B327" s="40">
        <f>IFERROR(INDEX('macs_ips'!$B$2:$B$403,AGGREGATE(15,6,(ROW('macs_ips'!$A$2:$A$403)-ROW(INDEX('macs_ips'!$A$2:$A$403,1,1))+1)/('macs_ips'!$E$2:$E$403=$J$1),ROW(A325))),"")</f>
        <v/>
      </c>
      <c r="C327" s="40">
        <f>IFERROR(INDEX('macs_ips'!$C$2:$C$403,AGGREGATE(15,6,(ROW('macs_ips'!$A$2:$A$403)-ROW(INDEX('macs_ips'!$A$2:$A$403,1,1))+1)/('macs_ips'!$E$2:$E$403=$J$1),ROW(A325))),"")</f>
        <v/>
      </c>
      <c r="D327" s="41">
        <f>IFERROR(INDEX('macs_ips'!$D$2:$D$403,AGGREGATE(15,6,(ROW('macs_ips'!$A$2:$A$403)-ROW(INDEX('macs_ips'!$A$2:$A$403,1,1))+1)/('macs_ips'!$E$2:$E$403=$J$1),ROW(A325))),"")</f>
        <v/>
      </c>
      <c r="E327" s="40">
        <f>IFERROR(INDEX('macs_ips'!$E$2:$E$403,AGGREGATE(15,6,(ROW('macs_ips'!$A$2:$A$403)-ROW(INDEX('macs_ips'!$A$2:$A$403,1,1))+1)/('macs_ips'!$E$2:$E$403=$J$1),ROW(A325))),"")</f>
        <v/>
      </c>
      <c r="F327" s="41">
        <f>IFERROR(INDEX('macs_ips'!$F$2:$F$403,AGGREGATE(15,6,(ROW('macs_ips'!$A$2:$A$403)-ROW(INDEX('macs_ips'!$A$2:$A$403,1,1))+1)/('macs_ips'!$E$2:$E$403=$J$1),ROW(A325))),"")</f>
        <v/>
      </c>
      <c r="G327" s="40">
        <f>IFERROR(INDEX('macs_ips'!$G$2:$G$403,AGGREGATE(15,6,(ROW('macs_ips'!$A$2:$A$403)-ROW(INDEX('macs_ips'!$A$2:$A$403,1,1))+1)/('macs_ips'!$E$2:$E$403=$J$1),ROW(A325))),"")</f>
        <v/>
      </c>
    </row>
    <row r="328">
      <c r="A328" s="40">
        <f>IFERROR(INDEX('macs_ips'!$A$2:$A$403,AGGREGATE(15,6,(ROW('macs_ips'!$A$2:$A$403)-ROW(INDEX('macs_ips'!$A$2:$A$403,1,1))+1)/('macs_ips'!$E$2:$E$403=$J$1),ROW(A326))),"")</f>
        <v/>
      </c>
      <c r="B328" s="40">
        <f>IFERROR(INDEX('macs_ips'!$B$2:$B$403,AGGREGATE(15,6,(ROW('macs_ips'!$A$2:$A$403)-ROW(INDEX('macs_ips'!$A$2:$A$403,1,1))+1)/('macs_ips'!$E$2:$E$403=$J$1),ROW(A326))),"")</f>
        <v/>
      </c>
      <c r="C328" s="40">
        <f>IFERROR(INDEX('macs_ips'!$C$2:$C$403,AGGREGATE(15,6,(ROW('macs_ips'!$A$2:$A$403)-ROW(INDEX('macs_ips'!$A$2:$A$403,1,1))+1)/('macs_ips'!$E$2:$E$403=$J$1),ROW(A326))),"")</f>
        <v/>
      </c>
      <c r="D328" s="41">
        <f>IFERROR(INDEX('macs_ips'!$D$2:$D$403,AGGREGATE(15,6,(ROW('macs_ips'!$A$2:$A$403)-ROW(INDEX('macs_ips'!$A$2:$A$403,1,1))+1)/('macs_ips'!$E$2:$E$403=$J$1),ROW(A326))),"")</f>
        <v/>
      </c>
      <c r="E328" s="40">
        <f>IFERROR(INDEX('macs_ips'!$E$2:$E$403,AGGREGATE(15,6,(ROW('macs_ips'!$A$2:$A$403)-ROW(INDEX('macs_ips'!$A$2:$A$403,1,1))+1)/('macs_ips'!$E$2:$E$403=$J$1),ROW(A326))),"")</f>
        <v/>
      </c>
      <c r="F328" s="41">
        <f>IFERROR(INDEX('macs_ips'!$F$2:$F$403,AGGREGATE(15,6,(ROW('macs_ips'!$A$2:$A$403)-ROW(INDEX('macs_ips'!$A$2:$A$403,1,1))+1)/('macs_ips'!$E$2:$E$403=$J$1),ROW(A326))),"")</f>
        <v/>
      </c>
      <c r="G328" s="40">
        <f>IFERROR(INDEX('macs_ips'!$G$2:$G$403,AGGREGATE(15,6,(ROW('macs_ips'!$A$2:$A$403)-ROW(INDEX('macs_ips'!$A$2:$A$403,1,1))+1)/('macs_ips'!$E$2:$E$403=$J$1),ROW(A326))),"")</f>
        <v/>
      </c>
    </row>
    <row r="329">
      <c r="A329" s="40">
        <f>IFERROR(INDEX('macs_ips'!$A$2:$A$403,AGGREGATE(15,6,(ROW('macs_ips'!$A$2:$A$403)-ROW(INDEX('macs_ips'!$A$2:$A$403,1,1))+1)/('macs_ips'!$E$2:$E$403=$J$1),ROW(A327))),"")</f>
        <v/>
      </c>
      <c r="B329" s="40">
        <f>IFERROR(INDEX('macs_ips'!$B$2:$B$403,AGGREGATE(15,6,(ROW('macs_ips'!$A$2:$A$403)-ROW(INDEX('macs_ips'!$A$2:$A$403,1,1))+1)/('macs_ips'!$E$2:$E$403=$J$1),ROW(A327))),"")</f>
        <v/>
      </c>
      <c r="C329" s="40">
        <f>IFERROR(INDEX('macs_ips'!$C$2:$C$403,AGGREGATE(15,6,(ROW('macs_ips'!$A$2:$A$403)-ROW(INDEX('macs_ips'!$A$2:$A$403,1,1))+1)/('macs_ips'!$E$2:$E$403=$J$1),ROW(A327))),"")</f>
        <v/>
      </c>
      <c r="D329" s="41">
        <f>IFERROR(INDEX('macs_ips'!$D$2:$D$403,AGGREGATE(15,6,(ROW('macs_ips'!$A$2:$A$403)-ROW(INDEX('macs_ips'!$A$2:$A$403,1,1))+1)/('macs_ips'!$E$2:$E$403=$J$1),ROW(A327))),"")</f>
        <v/>
      </c>
      <c r="E329" s="40">
        <f>IFERROR(INDEX('macs_ips'!$E$2:$E$403,AGGREGATE(15,6,(ROW('macs_ips'!$A$2:$A$403)-ROW(INDEX('macs_ips'!$A$2:$A$403,1,1))+1)/('macs_ips'!$E$2:$E$403=$J$1),ROW(A327))),"")</f>
        <v/>
      </c>
      <c r="F329" s="41">
        <f>IFERROR(INDEX('macs_ips'!$F$2:$F$403,AGGREGATE(15,6,(ROW('macs_ips'!$A$2:$A$403)-ROW(INDEX('macs_ips'!$A$2:$A$403,1,1))+1)/('macs_ips'!$E$2:$E$403=$J$1),ROW(A327))),"")</f>
        <v/>
      </c>
      <c r="G329" s="40">
        <f>IFERROR(INDEX('macs_ips'!$G$2:$G$403,AGGREGATE(15,6,(ROW('macs_ips'!$A$2:$A$403)-ROW(INDEX('macs_ips'!$A$2:$A$403,1,1))+1)/('macs_ips'!$E$2:$E$403=$J$1),ROW(A327))),"")</f>
        <v/>
      </c>
    </row>
    <row r="330">
      <c r="A330" s="40">
        <f>IFERROR(INDEX('macs_ips'!$A$2:$A$403,AGGREGATE(15,6,(ROW('macs_ips'!$A$2:$A$403)-ROW(INDEX('macs_ips'!$A$2:$A$403,1,1))+1)/('macs_ips'!$E$2:$E$403=$J$1),ROW(A328))),"")</f>
        <v/>
      </c>
      <c r="B330" s="40">
        <f>IFERROR(INDEX('macs_ips'!$B$2:$B$403,AGGREGATE(15,6,(ROW('macs_ips'!$A$2:$A$403)-ROW(INDEX('macs_ips'!$A$2:$A$403,1,1))+1)/('macs_ips'!$E$2:$E$403=$J$1),ROW(A328))),"")</f>
        <v/>
      </c>
      <c r="C330" s="40">
        <f>IFERROR(INDEX('macs_ips'!$C$2:$C$403,AGGREGATE(15,6,(ROW('macs_ips'!$A$2:$A$403)-ROW(INDEX('macs_ips'!$A$2:$A$403,1,1))+1)/('macs_ips'!$E$2:$E$403=$J$1),ROW(A328))),"")</f>
        <v/>
      </c>
      <c r="D330" s="41">
        <f>IFERROR(INDEX('macs_ips'!$D$2:$D$403,AGGREGATE(15,6,(ROW('macs_ips'!$A$2:$A$403)-ROW(INDEX('macs_ips'!$A$2:$A$403,1,1))+1)/('macs_ips'!$E$2:$E$403=$J$1),ROW(A328))),"")</f>
        <v/>
      </c>
      <c r="E330" s="40">
        <f>IFERROR(INDEX('macs_ips'!$E$2:$E$403,AGGREGATE(15,6,(ROW('macs_ips'!$A$2:$A$403)-ROW(INDEX('macs_ips'!$A$2:$A$403,1,1))+1)/('macs_ips'!$E$2:$E$403=$J$1),ROW(A328))),"")</f>
        <v/>
      </c>
      <c r="F330" s="41">
        <f>IFERROR(INDEX('macs_ips'!$F$2:$F$403,AGGREGATE(15,6,(ROW('macs_ips'!$A$2:$A$403)-ROW(INDEX('macs_ips'!$A$2:$A$403,1,1))+1)/('macs_ips'!$E$2:$E$403=$J$1),ROW(A328))),"")</f>
        <v/>
      </c>
      <c r="G330" s="40">
        <f>IFERROR(INDEX('macs_ips'!$G$2:$G$403,AGGREGATE(15,6,(ROW('macs_ips'!$A$2:$A$403)-ROW(INDEX('macs_ips'!$A$2:$A$403,1,1))+1)/('macs_ips'!$E$2:$E$403=$J$1),ROW(A328))),"")</f>
        <v/>
      </c>
    </row>
    <row r="331">
      <c r="A331" s="40">
        <f>IFERROR(INDEX('macs_ips'!$A$2:$A$403,AGGREGATE(15,6,(ROW('macs_ips'!$A$2:$A$403)-ROW(INDEX('macs_ips'!$A$2:$A$403,1,1))+1)/('macs_ips'!$E$2:$E$403=$J$1),ROW(A329))),"")</f>
        <v/>
      </c>
      <c r="B331" s="40">
        <f>IFERROR(INDEX('macs_ips'!$B$2:$B$403,AGGREGATE(15,6,(ROW('macs_ips'!$A$2:$A$403)-ROW(INDEX('macs_ips'!$A$2:$A$403,1,1))+1)/('macs_ips'!$E$2:$E$403=$J$1),ROW(A329))),"")</f>
        <v/>
      </c>
      <c r="C331" s="40">
        <f>IFERROR(INDEX('macs_ips'!$C$2:$C$403,AGGREGATE(15,6,(ROW('macs_ips'!$A$2:$A$403)-ROW(INDEX('macs_ips'!$A$2:$A$403,1,1))+1)/('macs_ips'!$E$2:$E$403=$J$1),ROW(A329))),"")</f>
        <v/>
      </c>
      <c r="D331" s="41">
        <f>IFERROR(INDEX('macs_ips'!$D$2:$D$403,AGGREGATE(15,6,(ROW('macs_ips'!$A$2:$A$403)-ROW(INDEX('macs_ips'!$A$2:$A$403,1,1))+1)/('macs_ips'!$E$2:$E$403=$J$1),ROW(A329))),"")</f>
        <v/>
      </c>
      <c r="E331" s="40">
        <f>IFERROR(INDEX('macs_ips'!$E$2:$E$403,AGGREGATE(15,6,(ROW('macs_ips'!$A$2:$A$403)-ROW(INDEX('macs_ips'!$A$2:$A$403,1,1))+1)/('macs_ips'!$E$2:$E$403=$J$1),ROW(A329))),"")</f>
        <v/>
      </c>
      <c r="F331" s="41">
        <f>IFERROR(INDEX('macs_ips'!$F$2:$F$403,AGGREGATE(15,6,(ROW('macs_ips'!$A$2:$A$403)-ROW(INDEX('macs_ips'!$A$2:$A$403,1,1))+1)/('macs_ips'!$E$2:$E$403=$J$1),ROW(A329))),"")</f>
        <v/>
      </c>
      <c r="G331" s="40">
        <f>IFERROR(INDEX('macs_ips'!$G$2:$G$403,AGGREGATE(15,6,(ROW('macs_ips'!$A$2:$A$403)-ROW(INDEX('macs_ips'!$A$2:$A$403,1,1))+1)/('macs_ips'!$E$2:$E$403=$J$1),ROW(A329))),"")</f>
        <v/>
      </c>
    </row>
    <row r="332">
      <c r="A332" s="40">
        <f>IFERROR(INDEX('macs_ips'!$A$2:$A$403,AGGREGATE(15,6,(ROW('macs_ips'!$A$2:$A$403)-ROW(INDEX('macs_ips'!$A$2:$A$403,1,1))+1)/('macs_ips'!$E$2:$E$403=$J$1),ROW(A330))),"")</f>
        <v/>
      </c>
      <c r="B332" s="40">
        <f>IFERROR(INDEX('macs_ips'!$B$2:$B$403,AGGREGATE(15,6,(ROW('macs_ips'!$A$2:$A$403)-ROW(INDEX('macs_ips'!$A$2:$A$403,1,1))+1)/('macs_ips'!$E$2:$E$403=$J$1),ROW(A330))),"")</f>
        <v/>
      </c>
      <c r="C332" s="40">
        <f>IFERROR(INDEX('macs_ips'!$C$2:$C$403,AGGREGATE(15,6,(ROW('macs_ips'!$A$2:$A$403)-ROW(INDEX('macs_ips'!$A$2:$A$403,1,1))+1)/('macs_ips'!$E$2:$E$403=$J$1),ROW(A330))),"")</f>
        <v/>
      </c>
      <c r="D332" s="41">
        <f>IFERROR(INDEX('macs_ips'!$D$2:$D$403,AGGREGATE(15,6,(ROW('macs_ips'!$A$2:$A$403)-ROW(INDEX('macs_ips'!$A$2:$A$403,1,1))+1)/('macs_ips'!$E$2:$E$403=$J$1),ROW(A330))),"")</f>
        <v/>
      </c>
      <c r="E332" s="40">
        <f>IFERROR(INDEX('macs_ips'!$E$2:$E$403,AGGREGATE(15,6,(ROW('macs_ips'!$A$2:$A$403)-ROW(INDEX('macs_ips'!$A$2:$A$403,1,1))+1)/('macs_ips'!$E$2:$E$403=$J$1),ROW(A330))),"")</f>
        <v/>
      </c>
      <c r="F332" s="41">
        <f>IFERROR(INDEX('macs_ips'!$F$2:$F$403,AGGREGATE(15,6,(ROW('macs_ips'!$A$2:$A$403)-ROW(INDEX('macs_ips'!$A$2:$A$403,1,1))+1)/('macs_ips'!$E$2:$E$403=$J$1),ROW(A330))),"")</f>
        <v/>
      </c>
      <c r="G332" s="40">
        <f>IFERROR(INDEX('macs_ips'!$G$2:$G$403,AGGREGATE(15,6,(ROW('macs_ips'!$A$2:$A$403)-ROW(INDEX('macs_ips'!$A$2:$A$403,1,1))+1)/('macs_ips'!$E$2:$E$403=$J$1),ROW(A330))),"")</f>
        <v/>
      </c>
    </row>
    <row r="333">
      <c r="A333" s="40">
        <f>IFERROR(INDEX('macs_ips'!$A$2:$A$403,AGGREGATE(15,6,(ROW('macs_ips'!$A$2:$A$403)-ROW(INDEX('macs_ips'!$A$2:$A$403,1,1))+1)/('macs_ips'!$E$2:$E$403=$J$1),ROW(A331))),"")</f>
        <v/>
      </c>
      <c r="B333" s="40">
        <f>IFERROR(INDEX('macs_ips'!$B$2:$B$403,AGGREGATE(15,6,(ROW('macs_ips'!$A$2:$A$403)-ROW(INDEX('macs_ips'!$A$2:$A$403,1,1))+1)/('macs_ips'!$E$2:$E$403=$J$1),ROW(A331))),"")</f>
        <v/>
      </c>
      <c r="C333" s="40">
        <f>IFERROR(INDEX('macs_ips'!$C$2:$C$403,AGGREGATE(15,6,(ROW('macs_ips'!$A$2:$A$403)-ROW(INDEX('macs_ips'!$A$2:$A$403,1,1))+1)/('macs_ips'!$E$2:$E$403=$J$1),ROW(A331))),"")</f>
        <v/>
      </c>
      <c r="D333" s="41">
        <f>IFERROR(INDEX('macs_ips'!$D$2:$D$403,AGGREGATE(15,6,(ROW('macs_ips'!$A$2:$A$403)-ROW(INDEX('macs_ips'!$A$2:$A$403,1,1))+1)/('macs_ips'!$E$2:$E$403=$J$1),ROW(A331))),"")</f>
        <v/>
      </c>
      <c r="E333" s="40">
        <f>IFERROR(INDEX('macs_ips'!$E$2:$E$403,AGGREGATE(15,6,(ROW('macs_ips'!$A$2:$A$403)-ROW(INDEX('macs_ips'!$A$2:$A$403,1,1))+1)/('macs_ips'!$E$2:$E$403=$J$1),ROW(A331))),"")</f>
        <v/>
      </c>
      <c r="F333" s="41">
        <f>IFERROR(INDEX('macs_ips'!$F$2:$F$403,AGGREGATE(15,6,(ROW('macs_ips'!$A$2:$A$403)-ROW(INDEX('macs_ips'!$A$2:$A$403,1,1))+1)/('macs_ips'!$E$2:$E$403=$J$1),ROW(A331))),"")</f>
        <v/>
      </c>
      <c r="G333" s="40">
        <f>IFERROR(INDEX('macs_ips'!$G$2:$G$403,AGGREGATE(15,6,(ROW('macs_ips'!$A$2:$A$403)-ROW(INDEX('macs_ips'!$A$2:$A$403,1,1))+1)/('macs_ips'!$E$2:$E$403=$J$1),ROW(A331))),"")</f>
        <v/>
      </c>
    </row>
    <row r="334">
      <c r="A334" s="40">
        <f>IFERROR(INDEX('macs_ips'!$A$2:$A$403,AGGREGATE(15,6,(ROW('macs_ips'!$A$2:$A$403)-ROW(INDEX('macs_ips'!$A$2:$A$403,1,1))+1)/('macs_ips'!$E$2:$E$403=$J$1),ROW(A332))),"")</f>
        <v/>
      </c>
      <c r="B334" s="40">
        <f>IFERROR(INDEX('macs_ips'!$B$2:$B$403,AGGREGATE(15,6,(ROW('macs_ips'!$A$2:$A$403)-ROW(INDEX('macs_ips'!$A$2:$A$403,1,1))+1)/('macs_ips'!$E$2:$E$403=$J$1),ROW(A332))),"")</f>
        <v/>
      </c>
      <c r="C334" s="40">
        <f>IFERROR(INDEX('macs_ips'!$C$2:$C$403,AGGREGATE(15,6,(ROW('macs_ips'!$A$2:$A$403)-ROW(INDEX('macs_ips'!$A$2:$A$403,1,1))+1)/('macs_ips'!$E$2:$E$403=$J$1),ROW(A332))),"")</f>
        <v/>
      </c>
      <c r="D334" s="41">
        <f>IFERROR(INDEX('macs_ips'!$D$2:$D$403,AGGREGATE(15,6,(ROW('macs_ips'!$A$2:$A$403)-ROW(INDEX('macs_ips'!$A$2:$A$403,1,1))+1)/('macs_ips'!$E$2:$E$403=$J$1),ROW(A332))),"")</f>
        <v/>
      </c>
      <c r="E334" s="40">
        <f>IFERROR(INDEX('macs_ips'!$E$2:$E$403,AGGREGATE(15,6,(ROW('macs_ips'!$A$2:$A$403)-ROW(INDEX('macs_ips'!$A$2:$A$403,1,1))+1)/('macs_ips'!$E$2:$E$403=$J$1),ROW(A332))),"")</f>
        <v/>
      </c>
      <c r="F334" s="41">
        <f>IFERROR(INDEX('macs_ips'!$F$2:$F$403,AGGREGATE(15,6,(ROW('macs_ips'!$A$2:$A$403)-ROW(INDEX('macs_ips'!$A$2:$A$403,1,1))+1)/('macs_ips'!$E$2:$E$403=$J$1),ROW(A332))),"")</f>
        <v/>
      </c>
      <c r="G334" s="40">
        <f>IFERROR(INDEX('macs_ips'!$G$2:$G$403,AGGREGATE(15,6,(ROW('macs_ips'!$A$2:$A$403)-ROW(INDEX('macs_ips'!$A$2:$A$403,1,1))+1)/('macs_ips'!$E$2:$E$403=$J$1),ROW(A332))),"")</f>
        <v/>
      </c>
    </row>
    <row r="335">
      <c r="A335" s="40">
        <f>IFERROR(INDEX('macs_ips'!$A$2:$A$403,AGGREGATE(15,6,(ROW('macs_ips'!$A$2:$A$403)-ROW(INDEX('macs_ips'!$A$2:$A$403,1,1))+1)/('macs_ips'!$E$2:$E$403=$J$1),ROW(A333))),"")</f>
        <v/>
      </c>
      <c r="B335" s="40">
        <f>IFERROR(INDEX('macs_ips'!$B$2:$B$403,AGGREGATE(15,6,(ROW('macs_ips'!$A$2:$A$403)-ROW(INDEX('macs_ips'!$A$2:$A$403,1,1))+1)/('macs_ips'!$E$2:$E$403=$J$1),ROW(A333))),"")</f>
        <v/>
      </c>
      <c r="C335" s="40">
        <f>IFERROR(INDEX('macs_ips'!$C$2:$C$403,AGGREGATE(15,6,(ROW('macs_ips'!$A$2:$A$403)-ROW(INDEX('macs_ips'!$A$2:$A$403,1,1))+1)/('macs_ips'!$E$2:$E$403=$J$1),ROW(A333))),"")</f>
        <v/>
      </c>
      <c r="D335" s="41">
        <f>IFERROR(INDEX('macs_ips'!$D$2:$D$403,AGGREGATE(15,6,(ROW('macs_ips'!$A$2:$A$403)-ROW(INDEX('macs_ips'!$A$2:$A$403,1,1))+1)/('macs_ips'!$E$2:$E$403=$J$1),ROW(A333))),"")</f>
        <v/>
      </c>
      <c r="E335" s="40">
        <f>IFERROR(INDEX('macs_ips'!$E$2:$E$403,AGGREGATE(15,6,(ROW('macs_ips'!$A$2:$A$403)-ROW(INDEX('macs_ips'!$A$2:$A$403,1,1))+1)/('macs_ips'!$E$2:$E$403=$J$1),ROW(A333))),"")</f>
        <v/>
      </c>
      <c r="F335" s="41">
        <f>IFERROR(INDEX('macs_ips'!$F$2:$F$403,AGGREGATE(15,6,(ROW('macs_ips'!$A$2:$A$403)-ROW(INDEX('macs_ips'!$A$2:$A$403,1,1))+1)/('macs_ips'!$E$2:$E$403=$J$1),ROW(A333))),"")</f>
        <v/>
      </c>
      <c r="G335" s="40">
        <f>IFERROR(INDEX('macs_ips'!$G$2:$G$403,AGGREGATE(15,6,(ROW('macs_ips'!$A$2:$A$403)-ROW(INDEX('macs_ips'!$A$2:$A$403,1,1))+1)/('macs_ips'!$E$2:$E$403=$J$1),ROW(A333))),"")</f>
        <v/>
      </c>
    </row>
    <row r="336">
      <c r="A336" s="40">
        <f>IFERROR(INDEX('macs_ips'!$A$2:$A$403,AGGREGATE(15,6,(ROW('macs_ips'!$A$2:$A$403)-ROW(INDEX('macs_ips'!$A$2:$A$403,1,1))+1)/('macs_ips'!$E$2:$E$403=$J$1),ROW(A334))),"")</f>
        <v/>
      </c>
      <c r="B336" s="40">
        <f>IFERROR(INDEX('macs_ips'!$B$2:$B$403,AGGREGATE(15,6,(ROW('macs_ips'!$A$2:$A$403)-ROW(INDEX('macs_ips'!$A$2:$A$403,1,1))+1)/('macs_ips'!$E$2:$E$403=$J$1),ROW(A334))),"")</f>
        <v/>
      </c>
      <c r="C336" s="40">
        <f>IFERROR(INDEX('macs_ips'!$C$2:$C$403,AGGREGATE(15,6,(ROW('macs_ips'!$A$2:$A$403)-ROW(INDEX('macs_ips'!$A$2:$A$403,1,1))+1)/('macs_ips'!$E$2:$E$403=$J$1),ROW(A334))),"")</f>
        <v/>
      </c>
      <c r="D336" s="41">
        <f>IFERROR(INDEX('macs_ips'!$D$2:$D$403,AGGREGATE(15,6,(ROW('macs_ips'!$A$2:$A$403)-ROW(INDEX('macs_ips'!$A$2:$A$403,1,1))+1)/('macs_ips'!$E$2:$E$403=$J$1),ROW(A334))),"")</f>
        <v/>
      </c>
      <c r="E336" s="40">
        <f>IFERROR(INDEX('macs_ips'!$E$2:$E$403,AGGREGATE(15,6,(ROW('macs_ips'!$A$2:$A$403)-ROW(INDEX('macs_ips'!$A$2:$A$403,1,1))+1)/('macs_ips'!$E$2:$E$403=$J$1),ROW(A334))),"")</f>
        <v/>
      </c>
      <c r="F336" s="41">
        <f>IFERROR(INDEX('macs_ips'!$F$2:$F$403,AGGREGATE(15,6,(ROW('macs_ips'!$A$2:$A$403)-ROW(INDEX('macs_ips'!$A$2:$A$403,1,1))+1)/('macs_ips'!$E$2:$E$403=$J$1),ROW(A334))),"")</f>
        <v/>
      </c>
      <c r="G336" s="40">
        <f>IFERROR(INDEX('macs_ips'!$G$2:$G$403,AGGREGATE(15,6,(ROW('macs_ips'!$A$2:$A$403)-ROW(INDEX('macs_ips'!$A$2:$A$403,1,1))+1)/('macs_ips'!$E$2:$E$403=$J$1),ROW(A334))),"")</f>
        <v/>
      </c>
    </row>
    <row r="337">
      <c r="A337" s="40">
        <f>IFERROR(INDEX('macs_ips'!$A$2:$A$403,AGGREGATE(15,6,(ROW('macs_ips'!$A$2:$A$403)-ROW(INDEX('macs_ips'!$A$2:$A$403,1,1))+1)/('macs_ips'!$E$2:$E$403=$J$1),ROW(A335))),"")</f>
        <v/>
      </c>
      <c r="B337" s="40">
        <f>IFERROR(INDEX('macs_ips'!$B$2:$B$403,AGGREGATE(15,6,(ROW('macs_ips'!$A$2:$A$403)-ROW(INDEX('macs_ips'!$A$2:$A$403,1,1))+1)/('macs_ips'!$E$2:$E$403=$J$1),ROW(A335))),"")</f>
        <v/>
      </c>
      <c r="C337" s="40">
        <f>IFERROR(INDEX('macs_ips'!$C$2:$C$403,AGGREGATE(15,6,(ROW('macs_ips'!$A$2:$A$403)-ROW(INDEX('macs_ips'!$A$2:$A$403,1,1))+1)/('macs_ips'!$E$2:$E$403=$J$1),ROW(A335))),"")</f>
        <v/>
      </c>
      <c r="D337" s="41">
        <f>IFERROR(INDEX('macs_ips'!$D$2:$D$403,AGGREGATE(15,6,(ROW('macs_ips'!$A$2:$A$403)-ROW(INDEX('macs_ips'!$A$2:$A$403,1,1))+1)/('macs_ips'!$E$2:$E$403=$J$1),ROW(A335))),"")</f>
        <v/>
      </c>
      <c r="E337" s="40">
        <f>IFERROR(INDEX('macs_ips'!$E$2:$E$403,AGGREGATE(15,6,(ROW('macs_ips'!$A$2:$A$403)-ROW(INDEX('macs_ips'!$A$2:$A$403,1,1))+1)/('macs_ips'!$E$2:$E$403=$J$1),ROW(A335))),"")</f>
        <v/>
      </c>
      <c r="F337" s="41">
        <f>IFERROR(INDEX('macs_ips'!$F$2:$F$403,AGGREGATE(15,6,(ROW('macs_ips'!$A$2:$A$403)-ROW(INDEX('macs_ips'!$A$2:$A$403,1,1))+1)/('macs_ips'!$E$2:$E$403=$J$1),ROW(A335))),"")</f>
        <v/>
      </c>
      <c r="G337" s="40">
        <f>IFERROR(INDEX('macs_ips'!$G$2:$G$403,AGGREGATE(15,6,(ROW('macs_ips'!$A$2:$A$403)-ROW(INDEX('macs_ips'!$A$2:$A$403,1,1))+1)/('macs_ips'!$E$2:$E$403=$J$1),ROW(A335))),"")</f>
        <v/>
      </c>
    </row>
    <row r="338">
      <c r="A338" s="40">
        <f>IFERROR(INDEX('macs_ips'!$A$2:$A$403,AGGREGATE(15,6,(ROW('macs_ips'!$A$2:$A$403)-ROW(INDEX('macs_ips'!$A$2:$A$403,1,1))+1)/('macs_ips'!$E$2:$E$403=$J$1),ROW(A336))),"")</f>
        <v/>
      </c>
      <c r="B338" s="40">
        <f>IFERROR(INDEX('macs_ips'!$B$2:$B$403,AGGREGATE(15,6,(ROW('macs_ips'!$A$2:$A$403)-ROW(INDEX('macs_ips'!$A$2:$A$403,1,1))+1)/('macs_ips'!$E$2:$E$403=$J$1),ROW(A336))),"")</f>
        <v/>
      </c>
      <c r="C338" s="40">
        <f>IFERROR(INDEX('macs_ips'!$C$2:$C$403,AGGREGATE(15,6,(ROW('macs_ips'!$A$2:$A$403)-ROW(INDEX('macs_ips'!$A$2:$A$403,1,1))+1)/('macs_ips'!$E$2:$E$403=$J$1),ROW(A336))),"")</f>
        <v/>
      </c>
      <c r="D338" s="41">
        <f>IFERROR(INDEX('macs_ips'!$D$2:$D$403,AGGREGATE(15,6,(ROW('macs_ips'!$A$2:$A$403)-ROW(INDEX('macs_ips'!$A$2:$A$403,1,1))+1)/('macs_ips'!$E$2:$E$403=$J$1),ROW(A336))),"")</f>
        <v/>
      </c>
      <c r="E338" s="40">
        <f>IFERROR(INDEX('macs_ips'!$E$2:$E$403,AGGREGATE(15,6,(ROW('macs_ips'!$A$2:$A$403)-ROW(INDEX('macs_ips'!$A$2:$A$403,1,1))+1)/('macs_ips'!$E$2:$E$403=$J$1),ROW(A336))),"")</f>
        <v/>
      </c>
      <c r="F338" s="41">
        <f>IFERROR(INDEX('macs_ips'!$F$2:$F$403,AGGREGATE(15,6,(ROW('macs_ips'!$A$2:$A$403)-ROW(INDEX('macs_ips'!$A$2:$A$403,1,1))+1)/('macs_ips'!$E$2:$E$403=$J$1),ROW(A336))),"")</f>
        <v/>
      </c>
      <c r="G338" s="40">
        <f>IFERROR(INDEX('macs_ips'!$G$2:$G$403,AGGREGATE(15,6,(ROW('macs_ips'!$A$2:$A$403)-ROW(INDEX('macs_ips'!$A$2:$A$403,1,1))+1)/('macs_ips'!$E$2:$E$403=$J$1),ROW(A336))),"")</f>
        <v/>
      </c>
    </row>
    <row r="339">
      <c r="A339" s="40">
        <f>IFERROR(INDEX('macs_ips'!$A$2:$A$403,AGGREGATE(15,6,(ROW('macs_ips'!$A$2:$A$403)-ROW(INDEX('macs_ips'!$A$2:$A$403,1,1))+1)/('macs_ips'!$E$2:$E$403=$J$1),ROW(A337))),"")</f>
        <v/>
      </c>
      <c r="B339" s="40">
        <f>IFERROR(INDEX('macs_ips'!$B$2:$B$403,AGGREGATE(15,6,(ROW('macs_ips'!$A$2:$A$403)-ROW(INDEX('macs_ips'!$A$2:$A$403,1,1))+1)/('macs_ips'!$E$2:$E$403=$J$1),ROW(A337))),"")</f>
        <v/>
      </c>
      <c r="C339" s="40">
        <f>IFERROR(INDEX('macs_ips'!$C$2:$C$403,AGGREGATE(15,6,(ROW('macs_ips'!$A$2:$A$403)-ROW(INDEX('macs_ips'!$A$2:$A$403,1,1))+1)/('macs_ips'!$E$2:$E$403=$J$1),ROW(A337))),"")</f>
        <v/>
      </c>
      <c r="D339" s="41">
        <f>IFERROR(INDEX('macs_ips'!$D$2:$D$403,AGGREGATE(15,6,(ROW('macs_ips'!$A$2:$A$403)-ROW(INDEX('macs_ips'!$A$2:$A$403,1,1))+1)/('macs_ips'!$E$2:$E$403=$J$1),ROW(A337))),"")</f>
        <v/>
      </c>
      <c r="E339" s="40">
        <f>IFERROR(INDEX('macs_ips'!$E$2:$E$403,AGGREGATE(15,6,(ROW('macs_ips'!$A$2:$A$403)-ROW(INDEX('macs_ips'!$A$2:$A$403,1,1))+1)/('macs_ips'!$E$2:$E$403=$J$1),ROW(A337))),"")</f>
        <v/>
      </c>
      <c r="F339" s="41">
        <f>IFERROR(INDEX('macs_ips'!$F$2:$F$403,AGGREGATE(15,6,(ROW('macs_ips'!$A$2:$A$403)-ROW(INDEX('macs_ips'!$A$2:$A$403,1,1))+1)/('macs_ips'!$E$2:$E$403=$J$1),ROW(A337))),"")</f>
        <v/>
      </c>
      <c r="G339" s="40">
        <f>IFERROR(INDEX('macs_ips'!$G$2:$G$403,AGGREGATE(15,6,(ROW('macs_ips'!$A$2:$A$403)-ROW(INDEX('macs_ips'!$A$2:$A$403,1,1))+1)/('macs_ips'!$E$2:$E$403=$J$1),ROW(A337))),"")</f>
        <v/>
      </c>
    </row>
    <row r="340">
      <c r="A340" s="40">
        <f>IFERROR(INDEX('macs_ips'!$A$2:$A$403,AGGREGATE(15,6,(ROW('macs_ips'!$A$2:$A$403)-ROW(INDEX('macs_ips'!$A$2:$A$403,1,1))+1)/('macs_ips'!$E$2:$E$403=$J$1),ROW(A338))),"")</f>
        <v/>
      </c>
      <c r="B340" s="40">
        <f>IFERROR(INDEX('macs_ips'!$B$2:$B$403,AGGREGATE(15,6,(ROW('macs_ips'!$A$2:$A$403)-ROW(INDEX('macs_ips'!$A$2:$A$403,1,1))+1)/('macs_ips'!$E$2:$E$403=$J$1),ROW(A338))),"")</f>
        <v/>
      </c>
      <c r="C340" s="40">
        <f>IFERROR(INDEX('macs_ips'!$C$2:$C$403,AGGREGATE(15,6,(ROW('macs_ips'!$A$2:$A$403)-ROW(INDEX('macs_ips'!$A$2:$A$403,1,1))+1)/('macs_ips'!$E$2:$E$403=$J$1),ROW(A338))),"")</f>
        <v/>
      </c>
      <c r="D340" s="41">
        <f>IFERROR(INDEX('macs_ips'!$D$2:$D$403,AGGREGATE(15,6,(ROW('macs_ips'!$A$2:$A$403)-ROW(INDEX('macs_ips'!$A$2:$A$403,1,1))+1)/('macs_ips'!$E$2:$E$403=$J$1),ROW(A338))),"")</f>
        <v/>
      </c>
      <c r="E340" s="40">
        <f>IFERROR(INDEX('macs_ips'!$E$2:$E$403,AGGREGATE(15,6,(ROW('macs_ips'!$A$2:$A$403)-ROW(INDEX('macs_ips'!$A$2:$A$403,1,1))+1)/('macs_ips'!$E$2:$E$403=$J$1),ROW(A338))),"")</f>
        <v/>
      </c>
      <c r="F340" s="41">
        <f>IFERROR(INDEX('macs_ips'!$F$2:$F$403,AGGREGATE(15,6,(ROW('macs_ips'!$A$2:$A$403)-ROW(INDEX('macs_ips'!$A$2:$A$403,1,1))+1)/('macs_ips'!$E$2:$E$403=$J$1),ROW(A338))),"")</f>
        <v/>
      </c>
      <c r="G340" s="40">
        <f>IFERROR(INDEX('macs_ips'!$G$2:$G$403,AGGREGATE(15,6,(ROW('macs_ips'!$A$2:$A$403)-ROW(INDEX('macs_ips'!$A$2:$A$403,1,1))+1)/('macs_ips'!$E$2:$E$403=$J$1),ROW(A338))),"")</f>
        <v/>
      </c>
    </row>
    <row r="341">
      <c r="A341" s="40">
        <f>IFERROR(INDEX('macs_ips'!$A$2:$A$403,AGGREGATE(15,6,(ROW('macs_ips'!$A$2:$A$403)-ROW(INDEX('macs_ips'!$A$2:$A$403,1,1))+1)/('macs_ips'!$E$2:$E$403=$J$1),ROW(A339))),"")</f>
        <v/>
      </c>
      <c r="B341" s="40">
        <f>IFERROR(INDEX('macs_ips'!$B$2:$B$403,AGGREGATE(15,6,(ROW('macs_ips'!$A$2:$A$403)-ROW(INDEX('macs_ips'!$A$2:$A$403,1,1))+1)/('macs_ips'!$E$2:$E$403=$J$1),ROW(A339))),"")</f>
        <v/>
      </c>
      <c r="C341" s="40">
        <f>IFERROR(INDEX('macs_ips'!$C$2:$C$403,AGGREGATE(15,6,(ROW('macs_ips'!$A$2:$A$403)-ROW(INDEX('macs_ips'!$A$2:$A$403,1,1))+1)/('macs_ips'!$E$2:$E$403=$J$1),ROW(A339))),"")</f>
        <v/>
      </c>
      <c r="D341" s="41">
        <f>IFERROR(INDEX('macs_ips'!$D$2:$D$403,AGGREGATE(15,6,(ROW('macs_ips'!$A$2:$A$403)-ROW(INDEX('macs_ips'!$A$2:$A$403,1,1))+1)/('macs_ips'!$E$2:$E$403=$J$1),ROW(A339))),"")</f>
        <v/>
      </c>
      <c r="E341" s="40">
        <f>IFERROR(INDEX('macs_ips'!$E$2:$E$403,AGGREGATE(15,6,(ROW('macs_ips'!$A$2:$A$403)-ROW(INDEX('macs_ips'!$A$2:$A$403,1,1))+1)/('macs_ips'!$E$2:$E$403=$J$1),ROW(A339))),"")</f>
        <v/>
      </c>
      <c r="F341" s="41">
        <f>IFERROR(INDEX('macs_ips'!$F$2:$F$403,AGGREGATE(15,6,(ROW('macs_ips'!$A$2:$A$403)-ROW(INDEX('macs_ips'!$A$2:$A$403,1,1))+1)/('macs_ips'!$E$2:$E$403=$J$1),ROW(A339))),"")</f>
        <v/>
      </c>
      <c r="G341" s="40">
        <f>IFERROR(INDEX('macs_ips'!$G$2:$G$403,AGGREGATE(15,6,(ROW('macs_ips'!$A$2:$A$403)-ROW(INDEX('macs_ips'!$A$2:$A$403,1,1))+1)/('macs_ips'!$E$2:$E$403=$J$1),ROW(A339))),"")</f>
        <v/>
      </c>
    </row>
    <row r="342">
      <c r="A342" s="40">
        <f>IFERROR(INDEX('macs_ips'!$A$2:$A$403,AGGREGATE(15,6,(ROW('macs_ips'!$A$2:$A$403)-ROW(INDEX('macs_ips'!$A$2:$A$403,1,1))+1)/('macs_ips'!$E$2:$E$403=$J$1),ROW(A340))),"")</f>
        <v/>
      </c>
      <c r="B342" s="40">
        <f>IFERROR(INDEX('macs_ips'!$B$2:$B$403,AGGREGATE(15,6,(ROW('macs_ips'!$A$2:$A$403)-ROW(INDEX('macs_ips'!$A$2:$A$403,1,1))+1)/('macs_ips'!$E$2:$E$403=$J$1),ROW(A340))),"")</f>
        <v/>
      </c>
      <c r="C342" s="40">
        <f>IFERROR(INDEX('macs_ips'!$C$2:$C$403,AGGREGATE(15,6,(ROW('macs_ips'!$A$2:$A$403)-ROW(INDEX('macs_ips'!$A$2:$A$403,1,1))+1)/('macs_ips'!$E$2:$E$403=$J$1),ROW(A340))),"")</f>
        <v/>
      </c>
      <c r="D342" s="41">
        <f>IFERROR(INDEX('macs_ips'!$D$2:$D$403,AGGREGATE(15,6,(ROW('macs_ips'!$A$2:$A$403)-ROW(INDEX('macs_ips'!$A$2:$A$403,1,1))+1)/('macs_ips'!$E$2:$E$403=$J$1),ROW(A340))),"")</f>
        <v/>
      </c>
      <c r="E342" s="40">
        <f>IFERROR(INDEX('macs_ips'!$E$2:$E$403,AGGREGATE(15,6,(ROW('macs_ips'!$A$2:$A$403)-ROW(INDEX('macs_ips'!$A$2:$A$403,1,1))+1)/('macs_ips'!$E$2:$E$403=$J$1),ROW(A340))),"")</f>
        <v/>
      </c>
      <c r="F342" s="41">
        <f>IFERROR(INDEX('macs_ips'!$F$2:$F$403,AGGREGATE(15,6,(ROW('macs_ips'!$A$2:$A$403)-ROW(INDEX('macs_ips'!$A$2:$A$403,1,1))+1)/('macs_ips'!$E$2:$E$403=$J$1),ROW(A340))),"")</f>
        <v/>
      </c>
      <c r="G342" s="40">
        <f>IFERROR(INDEX('macs_ips'!$G$2:$G$403,AGGREGATE(15,6,(ROW('macs_ips'!$A$2:$A$403)-ROW(INDEX('macs_ips'!$A$2:$A$403,1,1))+1)/('macs_ips'!$E$2:$E$403=$J$1),ROW(A340))),"")</f>
        <v/>
      </c>
    </row>
    <row r="343">
      <c r="A343" s="40">
        <f>IFERROR(INDEX('macs_ips'!$A$2:$A$403,AGGREGATE(15,6,(ROW('macs_ips'!$A$2:$A$403)-ROW(INDEX('macs_ips'!$A$2:$A$403,1,1))+1)/('macs_ips'!$E$2:$E$403=$J$1),ROW(A341))),"")</f>
        <v/>
      </c>
      <c r="B343" s="40">
        <f>IFERROR(INDEX('macs_ips'!$B$2:$B$403,AGGREGATE(15,6,(ROW('macs_ips'!$A$2:$A$403)-ROW(INDEX('macs_ips'!$A$2:$A$403,1,1))+1)/('macs_ips'!$E$2:$E$403=$J$1),ROW(A341))),"")</f>
        <v/>
      </c>
      <c r="C343" s="40">
        <f>IFERROR(INDEX('macs_ips'!$C$2:$C$403,AGGREGATE(15,6,(ROW('macs_ips'!$A$2:$A$403)-ROW(INDEX('macs_ips'!$A$2:$A$403,1,1))+1)/('macs_ips'!$E$2:$E$403=$J$1),ROW(A341))),"")</f>
        <v/>
      </c>
      <c r="D343" s="41">
        <f>IFERROR(INDEX('macs_ips'!$D$2:$D$403,AGGREGATE(15,6,(ROW('macs_ips'!$A$2:$A$403)-ROW(INDEX('macs_ips'!$A$2:$A$403,1,1))+1)/('macs_ips'!$E$2:$E$403=$J$1),ROW(A341))),"")</f>
        <v/>
      </c>
      <c r="E343" s="40">
        <f>IFERROR(INDEX('macs_ips'!$E$2:$E$403,AGGREGATE(15,6,(ROW('macs_ips'!$A$2:$A$403)-ROW(INDEX('macs_ips'!$A$2:$A$403,1,1))+1)/('macs_ips'!$E$2:$E$403=$J$1),ROW(A341))),"")</f>
        <v/>
      </c>
      <c r="F343" s="41">
        <f>IFERROR(INDEX('macs_ips'!$F$2:$F$403,AGGREGATE(15,6,(ROW('macs_ips'!$A$2:$A$403)-ROW(INDEX('macs_ips'!$A$2:$A$403,1,1))+1)/('macs_ips'!$E$2:$E$403=$J$1),ROW(A341))),"")</f>
        <v/>
      </c>
      <c r="G343" s="40">
        <f>IFERROR(INDEX('macs_ips'!$G$2:$G$403,AGGREGATE(15,6,(ROW('macs_ips'!$A$2:$A$403)-ROW(INDEX('macs_ips'!$A$2:$A$403,1,1))+1)/('macs_ips'!$E$2:$E$403=$J$1),ROW(A341))),"")</f>
        <v/>
      </c>
    </row>
    <row r="344">
      <c r="A344" s="40">
        <f>IFERROR(INDEX('macs_ips'!$A$2:$A$403,AGGREGATE(15,6,(ROW('macs_ips'!$A$2:$A$403)-ROW(INDEX('macs_ips'!$A$2:$A$403,1,1))+1)/('macs_ips'!$E$2:$E$403=$J$1),ROW(A342))),"")</f>
        <v/>
      </c>
      <c r="B344" s="40">
        <f>IFERROR(INDEX('macs_ips'!$B$2:$B$403,AGGREGATE(15,6,(ROW('macs_ips'!$A$2:$A$403)-ROW(INDEX('macs_ips'!$A$2:$A$403,1,1))+1)/('macs_ips'!$E$2:$E$403=$J$1),ROW(A342))),"")</f>
        <v/>
      </c>
      <c r="C344" s="40">
        <f>IFERROR(INDEX('macs_ips'!$C$2:$C$403,AGGREGATE(15,6,(ROW('macs_ips'!$A$2:$A$403)-ROW(INDEX('macs_ips'!$A$2:$A$403,1,1))+1)/('macs_ips'!$E$2:$E$403=$J$1),ROW(A342))),"")</f>
        <v/>
      </c>
      <c r="D344" s="41">
        <f>IFERROR(INDEX('macs_ips'!$D$2:$D$403,AGGREGATE(15,6,(ROW('macs_ips'!$A$2:$A$403)-ROW(INDEX('macs_ips'!$A$2:$A$403,1,1))+1)/('macs_ips'!$E$2:$E$403=$J$1),ROW(A342))),"")</f>
        <v/>
      </c>
      <c r="E344" s="40">
        <f>IFERROR(INDEX('macs_ips'!$E$2:$E$403,AGGREGATE(15,6,(ROW('macs_ips'!$A$2:$A$403)-ROW(INDEX('macs_ips'!$A$2:$A$403,1,1))+1)/('macs_ips'!$E$2:$E$403=$J$1),ROW(A342))),"")</f>
        <v/>
      </c>
      <c r="F344" s="41">
        <f>IFERROR(INDEX('macs_ips'!$F$2:$F$403,AGGREGATE(15,6,(ROW('macs_ips'!$A$2:$A$403)-ROW(INDEX('macs_ips'!$A$2:$A$403,1,1))+1)/('macs_ips'!$E$2:$E$403=$J$1),ROW(A342))),"")</f>
        <v/>
      </c>
      <c r="G344" s="40">
        <f>IFERROR(INDEX('macs_ips'!$G$2:$G$403,AGGREGATE(15,6,(ROW('macs_ips'!$A$2:$A$403)-ROW(INDEX('macs_ips'!$A$2:$A$403,1,1))+1)/('macs_ips'!$E$2:$E$403=$J$1),ROW(A342))),"")</f>
        <v/>
      </c>
    </row>
    <row r="345">
      <c r="A345" s="40">
        <f>IFERROR(INDEX('macs_ips'!$A$2:$A$403,AGGREGATE(15,6,(ROW('macs_ips'!$A$2:$A$403)-ROW(INDEX('macs_ips'!$A$2:$A$403,1,1))+1)/('macs_ips'!$E$2:$E$403=$J$1),ROW(A343))),"")</f>
        <v/>
      </c>
      <c r="B345" s="40">
        <f>IFERROR(INDEX('macs_ips'!$B$2:$B$403,AGGREGATE(15,6,(ROW('macs_ips'!$A$2:$A$403)-ROW(INDEX('macs_ips'!$A$2:$A$403,1,1))+1)/('macs_ips'!$E$2:$E$403=$J$1),ROW(A343))),"")</f>
        <v/>
      </c>
      <c r="C345" s="40">
        <f>IFERROR(INDEX('macs_ips'!$C$2:$C$403,AGGREGATE(15,6,(ROW('macs_ips'!$A$2:$A$403)-ROW(INDEX('macs_ips'!$A$2:$A$403,1,1))+1)/('macs_ips'!$E$2:$E$403=$J$1),ROW(A343))),"")</f>
        <v/>
      </c>
      <c r="D345" s="41">
        <f>IFERROR(INDEX('macs_ips'!$D$2:$D$403,AGGREGATE(15,6,(ROW('macs_ips'!$A$2:$A$403)-ROW(INDEX('macs_ips'!$A$2:$A$403,1,1))+1)/('macs_ips'!$E$2:$E$403=$J$1),ROW(A343))),"")</f>
        <v/>
      </c>
      <c r="E345" s="40">
        <f>IFERROR(INDEX('macs_ips'!$E$2:$E$403,AGGREGATE(15,6,(ROW('macs_ips'!$A$2:$A$403)-ROW(INDEX('macs_ips'!$A$2:$A$403,1,1))+1)/('macs_ips'!$E$2:$E$403=$J$1),ROW(A343))),"")</f>
        <v/>
      </c>
      <c r="F345" s="41">
        <f>IFERROR(INDEX('macs_ips'!$F$2:$F$403,AGGREGATE(15,6,(ROW('macs_ips'!$A$2:$A$403)-ROW(INDEX('macs_ips'!$A$2:$A$403,1,1))+1)/('macs_ips'!$E$2:$E$403=$J$1),ROW(A343))),"")</f>
        <v/>
      </c>
      <c r="G345" s="40">
        <f>IFERROR(INDEX('macs_ips'!$G$2:$G$403,AGGREGATE(15,6,(ROW('macs_ips'!$A$2:$A$403)-ROW(INDEX('macs_ips'!$A$2:$A$403,1,1))+1)/('macs_ips'!$E$2:$E$403=$J$1),ROW(A343))),"")</f>
        <v/>
      </c>
    </row>
    <row r="346">
      <c r="A346" s="40">
        <f>IFERROR(INDEX('macs_ips'!$A$2:$A$403,AGGREGATE(15,6,(ROW('macs_ips'!$A$2:$A$403)-ROW(INDEX('macs_ips'!$A$2:$A$403,1,1))+1)/('macs_ips'!$E$2:$E$403=$J$1),ROW(A344))),"")</f>
        <v/>
      </c>
      <c r="B346" s="40">
        <f>IFERROR(INDEX('macs_ips'!$B$2:$B$403,AGGREGATE(15,6,(ROW('macs_ips'!$A$2:$A$403)-ROW(INDEX('macs_ips'!$A$2:$A$403,1,1))+1)/('macs_ips'!$E$2:$E$403=$J$1),ROW(A344))),"")</f>
        <v/>
      </c>
      <c r="C346" s="40">
        <f>IFERROR(INDEX('macs_ips'!$C$2:$C$403,AGGREGATE(15,6,(ROW('macs_ips'!$A$2:$A$403)-ROW(INDEX('macs_ips'!$A$2:$A$403,1,1))+1)/('macs_ips'!$E$2:$E$403=$J$1),ROW(A344))),"")</f>
        <v/>
      </c>
      <c r="D346" s="41">
        <f>IFERROR(INDEX('macs_ips'!$D$2:$D$403,AGGREGATE(15,6,(ROW('macs_ips'!$A$2:$A$403)-ROW(INDEX('macs_ips'!$A$2:$A$403,1,1))+1)/('macs_ips'!$E$2:$E$403=$J$1),ROW(A344))),"")</f>
        <v/>
      </c>
      <c r="E346" s="40">
        <f>IFERROR(INDEX('macs_ips'!$E$2:$E$403,AGGREGATE(15,6,(ROW('macs_ips'!$A$2:$A$403)-ROW(INDEX('macs_ips'!$A$2:$A$403,1,1))+1)/('macs_ips'!$E$2:$E$403=$J$1),ROW(A344))),"")</f>
        <v/>
      </c>
      <c r="F346" s="41">
        <f>IFERROR(INDEX('macs_ips'!$F$2:$F$403,AGGREGATE(15,6,(ROW('macs_ips'!$A$2:$A$403)-ROW(INDEX('macs_ips'!$A$2:$A$403,1,1))+1)/('macs_ips'!$E$2:$E$403=$J$1),ROW(A344))),"")</f>
        <v/>
      </c>
      <c r="G346" s="40">
        <f>IFERROR(INDEX('macs_ips'!$G$2:$G$403,AGGREGATE(15,6,(ROW('macs_ips'!$A$2:$A$403)-ROW(INDEX('macs_ips'!$A$2:$A$403,1,1))+1)/('macs_ips'!$E$2:$E$403=$J$1),ROW(A344))),"")</f>
        <v/>
      </c>
    </row>
    <row r="347">
      <c r="A347" s="40">
        <f>IFERROR(INDEX('macs_ips'!$A$2:$A$403,AGGREGATE(15,6,(ROW('macs_ips'!$A$2:$A$403)-ROW(INDEX('macs_ips'!$A$2:$A$403,1,1))+1)/('macs_ips'!$E$2:$E$403=$J$1),ROW(A345))),"")</f>
        <v/>
      </c>
      <c r="B347" s="40">
        <f>IFERROR(INDEX('macs_ips'!$B$2:$B$403,AGGREGATE(15,6,(ROW('macs_ips'!$A$2:$A$403)-ROW(INDEX('macs_ips'!$A$2:$A$403,1,1))+1)/('macs_ips'!$E$2:$E$403=$J$1),ROW(A345))),"")</f>
        <v/>
      </c>
      <c r="C347" s="40">
        <f>IFERROR(INDEX('macs_ips'!$C$2:$C$403,AGGREGATE(15,6,(ROW('macs_ips'!$A$2:$A$403)-ROW(INDEX('macs_ips'!$A$2:$A$403,1,1))+1)/('macs_ips'!$E$2:$E$403=$J$1),ROW(A345))),"")</f>
        <v/>
      </c>
      <c r="D347" s="41">
        <f>IFERROR(INDEX('macs_ips'!$D$2:$D$403,AGGREGATE(15,6,(ROW('macs_ips'!$A$2:$A$403)-ROW(INDEX('macs_ips'!$A$2:$A$403,1,1))+1)/('macs_ips'!$E$2:$E$403=$J$1),ROW(A345))),"")</f>
        <v/>
      </c>
      <c r="E347" s="40">
        <f>IFERROR(INDEX('macs_ips'!$E$2:$E$403,AGGREGATE(15,6,(ROW('macs_ips'!$A$2:$A$403)-ROW(INDEX('macs_ips'!$A$2:$A$403,1,1))+1)/('macs_ips'!$E$2:$E$403=$J$1),ROW(A345))),"")</f>
        <v/>
      </c>
      <c r="F347" s="41">
        <f>IFERROR(INDEX('macs_ips'!$F$2:$F$403,AGGREGATE(15,6,(ROW('macs_ips'!$A$2:$A$403)-ROW(INDEX('macs_ips'!$A$2:$A$403,1,1))+1)/('macs_ips'!$E$2:$E$403=$J$1),ROW(A345))),"")</f>
        <v/>
      </c>
      <c r="G347" s="40">
        <f>IFERROR(INDEX('macs_ips'!$G$2:$G$403,AGGREGATE(15,6,(ROW('macs_ips'!$A$2:$A$403)-ROW(INDEX('macs_ips'!$A$2:$A$403,1,1))+1)/('macs_ips'!$E$2:$E$403=$J$1),ROW(A345))),"")</f>
        <v/>
      </c>
    </row>
    <row r="348">
      <c r="A348" s="40">
        <f>IFERROR(INDEX('macs_ips'!$A$2:$A$403,AGGREGATE(15,6,(ROW('macs_ips'!$A$2:$A$403)-ROW(INDEX('macs_ips'!$A$2:$A$403,1,1))+1)/('macs_ips'!$E$2:$E$403=$J$1),ROW(A346))),"")</f>
        <v/>
      </c>
      <c r="B348" s="40">
        <f>IFERROR(INDEX('macs_ips'!$B$2:$B$403,AGGREGATE(15,6,(ROW('macs_ips'!$A$2:$A$403)-ROW(INDEX('macs_ips'!$A$2:$A$403,1,1))+1)/('macs_ips'!$E$2:$E$403=$J$1),ROW(A346))),"")</f>
        <v/>
      </c>
      <c r="C348" s="40">
        <f>IFERROR(INDEX('macs_ips'!$C$2:$C$403,AGGREGATE(15,6,(ROW('macs_ips'!$A$2:$A$403)-ROW(INDEX('macs_ips'!$A$2:$A$403,1,1))+1)/('macs_ips'!$E$2:$E$403=$J$1),ROW(A346))),"")</f>
        <v/>
      </c>
      <c r="D348" s="41">
        <f>IFERROR(INDEX('macs_ips'!$D$2:$D$403,AGGREGATE(15,6,(ROW('macs_ips'!$A$2:$A$403)-ROW(INDEX('macs_ips'!$A$2:$A$403,1,1))+1)/('macs_ips'!$E$2:$E$403=$J$1),ROW(A346))),"")</f>
        <v/>
      </c>
      <c r="E348" s="40">
        <f>IFERROR(INDEX('macs_ips'!$E$2:$E$403,AGGREGATE(15,6,(ROW('macs_ips'!$A$2:$A$403)-ROW(INDEX('macs_ips'!$A$2:$A$403,1,1))+1)/('macs_ips'!$E$2:$E$403=$J$1),ROW(A346))),"")</f>
        <v/>
      </c>
      <c r="F348" s="41">
        <f>IFERROR(INDEX('macs_ips'!$F$2:$F$403,AGGREGATE(15,6,(ROW('macs_ips'!$A$2:$A$403)-ROW(INDEX('macs_ips'!$A$2:$A$403,1,1))+1)/('macs_ips'!$E$2:$E$403=$J$1),ROW(A346))),"")</f>
        <v/>
      </c>
      <c r="G348" s="40">
        <f>IFERROR(INDEX('macs_ips'!$G$2:$G$403,AGGREGATE(15,6,(ROW('macs_ips'!$A$2:$A$403)-ROW(INDEX('macs_ips'!$A$2:$A$403,1,1))+1)/('macs_ips'!$E$2:$E$403=$J$1),ROW(A346))),"")</f>
        <v/>
      </c>
    </row>
    <row r="349">
      <c r="A349" s="40">
        <f>IFERROR(INDEX('macs_ips'!$A$2:$A$403,AGGREGATE(15,6,(ROW('macs_ips'!$A$2:$A$403)-ROW(INDEX('macs_ips'!$A$2:$A$403,1,1))+1)/('macs_ips'!$E$2:$E$403=$J$1),ROW(A347))),"")</f>
        <v/>
      </c>
      <c r="B349" s="40">
        <f>IFERROR(INDEX('macs_ips'!$B$2:$B$403,AGGREGATE(15,6,(ROW('macs_ips'!$A$2:$A$403)-ROW(INDEX('macs_ips'!$A$2:$A$403,1,1))+1)/('macs_ips'!$E$2:$E$403=$J$1),ROW(A347))),"")</f>
        <v/>
      </c>
      <c r="C349" s="40">
        <f>IFERROR(INDEX('macs_ips'!$C$2:$C$403,AGGREGATE(15,6,(ROW('macs_ips'!$A$2:$A$403)-ROW(INDEX('macs_ips'!$A$2:$A$403,1,1))+1)/('macs_ips'!$E$2:$E$403=$J$1),ROW(A347))),"")</f>
        <v/>
      </c>
      <c r="D349" s="41">
        <f>IFERROR(INDEX('macs_ips'!$D$2:$D$403,AGGREGATE(15,6,(ROW('macs_ips'!$A$2:$A$403)-ROW(INDEX('macs_ips'!$A$2:$A$403,1,1))+1)/('macs_ips'!$E$2:$E$403=$J$1),ROW(A347))),"")</f>
        <v/>
      </c>
      <c r="E349" s="40">
        <f>IFERROR(INDEX('macs_ips'!$E$2:$E$403,AGGREGATE(15,6,(ROW('macs_ips'!$A$2:$A$403)-ROW(INDEX('macs_ips'!$A$2:$A$403,1,1))+1)/('macs_ips'!$E$2:$E$403=$J$1),ROW(A347))),"")</f>
        <v/>
      </c>
      <c r="F349" s="41">
        <f>IFERROR(INDEX('macs_ips'!$F$2:$F$403,AGGREGATE(15,6,(ROW('macs_ips'!$A$2:$A$403)-ROW(INDEX('macs_ips'!$A$2:$A$403,1,1))+1)/('macs_ips'!$E$2:$E$403=$J$1),ROW(A347))),"")</f>
        <v/>
      </c>
      <c r="G349" s="40">
        <f>IFERROR(INDEX('macs_ips'!$G$2:$G$403,AGGREGATE(15,6,(ROW('macs_ips'!$A$2:$A$403)-ROW(INDEX('macs_ips'!$A$2:$A$403,1,1))+1)/('macs_ips'!$E$2:$E$403=$J$1),ROW(A347))),"")</f>
        <v/>
      </c>
    </row>
    <row r="350">
      <c r="A350" s="40">
        <f>IFERROR(INDEX('macs_ips'!$A$2:$A$403,AGGREGATE(15,6,(ROW('macs_ips'!$A$2:$A$403)-ROW(INDEX('macs_ips'!$A$2:$A$403,1,1))+1)/('macs_ips'!$E$2:$E$403=$J$1),ROW(A348))),"")</f>
        <v/>
      </c>
      <c r="B350" s="40">
        <f>IFERROR(INDEX('macs_ips'!$B$2:$B$403,AGGREGATE(15,6,(ROW('macs_ips'!$A$2:$A$403)-ROW(INDEX('macs_ips'!$A$2:$A$403,1,1))+1)/('macs_ips'!$E$2:$E$403=$J$1),ROW(A348))),"")</f>
        <v/>
      </c>
      <c r="C350" s="40">
        <f>IFERROR(INDEX('macs_ips'!$C$2:$C$403,AGGREGATE(15,6,(ROW('macs_ips'!$A$2:$A$403)-ROW(INDEX('macs_ips'!$A$2:$A$403,1,1))+1)/('macs_ips'!$E$2:$E$403=$J$1),ROW(A348))),"")</f>
        <v/>
      </c>
      <c r="D350" s="41">
        <f>IFERROR(INDEX('macs_ips'!$D$2:$D$403,AGGREGATE(15,6,(ROW('macs_ips'!$A$2:$A$403)-ROW(INDEX('macs_ips'!$A$2:$A$403,1,1))+1)/('macs_ips'!$E$2:$E$403=$J$1),ROW(A348))),"")</f>
        <v/>
      </c>
      <c r="E350" s="40">
        <f>IFERROR(INDEX('macs_ips'!$E$2:$E$403,AGGREGATE(15,6,(ROW('macs_ips'!$A$2:$A$403)-ROW(INDEX('macs_ips'!$A$2:$A$403,1,1))+1)/('macs_ips'!$E$2:$E$403=$J$1),ROW(A348))),"")</f>
        <v/>
      </c>
      <c r="F350" s="41">
        <f>IFERROR(INDEX('macs_ips'!$F$2:$F$403,AGGREGATE(15,6,(ROW('macs_ips'!$A$2:$A$403)-ROW(INDEX('macs_ips'!$A$2:$A$403,1,1))+1)/('macs_ips'!$E$2:$E$403=$J$1),ROW(A348))),"")</f>
        <v/>
      </c>
      <c r="G350" s="40">
        <f>IFERROR(INDEX('macs_ips'!$G$2:$G$403,AGGREGATE(15,6,(ROW('macs_ips'!$A$2:$A$403)-ROW(INDEX('macs_ips'!$A$2:$A$403,1,1))+1)/('macs_ips'!$E$2:$E$403=$J$1),ROW(A348))),"")</f>
        <v/>
      </c>
    </row>
    <row r="351">
      <c r="A351" s="40">
        <f>IFERROR(INDEX('macs_ips'!$A$2:$A$403,AGGREGATE(15,6,(ROW('macs_ips'!$A$2:$A$403)-ROW(INDEX('macs_ips'!$A$2:$A$403,1,1))+1)/('macs_ips'!$E$2:$E$403=$J$1),ROW(A349))),"")</f>
        <v/>
      </c>
      <c r="B351" s="40">
        <f>IFERROR(INDEX('macs_ips'!$B$2:$B$403,AGGREGATE(15,6,(ROW('macs_ips'!$A$2:$A$403)-ROW(INDEX('macs_ips'!$A$2:$A$403,1,1))+1)/('macs_ips'!$E$2:$E$403=$J$1),ROW(A349))),"")</f>
        <v/>
      </c>
      <c r="C351" s="40">
        <f>IFERROR(INDEX('macs_ips'!$C$2:$C$403,AGGREGATE(15,6,(ROW('macs_ips'!$A$2:$A$403)-ROW(INDEX('macs_ips'!$A$2:$A$403,1,1))+1)/('macs_ips'!$E$2:$E$403=$J$1),ROW(A349))),"")</f>
        <v/>
      </c>
      <c r="D351" s="41">
        <f>IFERROR(INDEX('macs_ips'!$D$2:$D$403,AGGREGATE(15,6,(ROW('macs_ips'!$A$2:$A$403)-ROW(INDEX('macs_ips'!$A$2:$A$403,1,1))+1)/('macs_ips'!$E$2:$E$403=$J$1),ROW(A349))),"")</f>
        <v/>
      </c>
      <c r="E351" s="40">
        <f>IFERROR(INDEX('macs_ips'!$E$2:$E$403,AGGREGATE(15,6,(ROW('macs_ips'!$A$2:$A$403)-ROW(INDEX('macs_ips'!$A$2:$A$403,1,1))+1)/('macs_ips'!$E$2:$E$403=$J$1),ROW(A349))),"")</f>
        <v/>
      </c>
      <c r="F351" s="41">
        <f>IFERROR(INDEX('macs_ips'!$F$2:$F$403,AGGREGATE(15,6,(ROW('macs_ips'!$A$2:$A$403)-ROW(INDEX('macs_ips'!$A$2:$A$403,1,1))+1)/('macs_ips'!$E$2:$E$403=$J$1),ROW(A349))),"")</f>
        <v/>
      </c>
      <c r="G351" s="40">
        <f>IFERROR(INDEX('macs_ips'!$G$2:$G$403,AGGREGATE(15,6,(ROW('macs_ips'!$A$2:$A$403)-ROW(INDEX('macs_ips'!$A$2:$A$403,1,1))+1)/('macs_ips'!$E$2:$E$403=$J$1),ROW(A349))),"")</f>
        <v/>
      </c>
    </row>
    <row r="352">
      <c r="A352" s="40">
        <f>IFERROR(INDEX('macs_ips'!$A$2:$A$403,AGGREGATE(15,6,(ROW('macs_ips'!$A$2:$A$403)-ROW(INDEX('macs_ips'!$A$2:$A$403,1,1))+1)/('macs_ips'!$E$2:$E$403=$J$1),ROW(A350))),"")</f>
        <v/>
      </c>
      <c r="B352" s="40">
        <f>IFERROR(INDEX('macs_ips'!$B$2:$B$403,AGGREGATE(15,6,(ROW('macs_ips'!$A$2:$A$403)-ROW(INDEX('macs_ips'!$A$2:$A$403,1,1))+1)/('macs_ips'!$E$2:$E$403=$J$1),ROW(A350))),"")</f>
        <v/>
      </c>
      <c r="C352" s="40">
        <f>IFERROR(INDEX('macs_ips'!$C$2:$C$403,AGGREGATE(15,6,(ROW('macs_ips'!$A$2:$A$403)-ROW(INDEX('macs_ips'!$A$2:$A$403,1,1))+1)/('macs_ips'!$E$2:$E$403=$J$1),ROW(A350))),"")</f>
        <v/>
      </c>
      <c r="D352" s="41">
        <f>IFERROR(INDEX('macs_ips'!$D$2:$D$403,AGGREGATE(15,6,(ROW('macs_ips'!$A$2:$A$403)-ROW(INDEX('macs_ips'!$A$2:$A$403,1,1))+1)/('macs_ips'!$E$2:$E$403=$J$1),ROW(A350))),"")</f>
        <v/>
      </c>
      <c r="E352" s="40">
        <f>IFERROR(INDEX('macs_ips'!$E$2:$E$403,AGGREGATE(15,6,(ROW('macs_ips'!$A$2:$A$403)-ROW(INDEX('macs_ips'!$A$2:$A$403,1,1))+1)/('macs_ips'!$E$2:$E$403=$J$1),ROW(A350))),"")</f>
        <v/>
      </c>
      <c r="F352" s="41">
        <f>IFERROR(INDEX('macs_ips'!$F$2:$F$403,AGGREGATE(15,6,(ROW('macs_ips'!$A$2:$A$403)-ROW(INDEX('macs_ips'!$A$2:$A$403,1,1))+1)/('macs_ips'!$E$2:$E$403=$J$1),ROW(A350))),"")</f>
        <v/>
      </c>
      <c r="G352" s="40">
        <f>IFERROR(INDEX('macs_ips'!$G$2:$G$403,AGGREGATE(15,6,(ROW('macs_ips'!$A$2:$A$403)-ROW(INDEX('macs_ips'!$A$2:$A$403,1,1))+1)/('macs_ips'!$E$2:$E$403=$J$1),ROW(A350))),"")</f>
        <v/>
      </c>
    </row>
    <row r="353">
      <c r="A353" s="40">
        <f>IFERROR(INDEX('macs_ips'!$A$2:$A$403,AGGREGATE(15,6,(ROW('macs_ips'!$A$2:$A$403)-ROW(INDEX('macs_ips'!$A$2:$A$403,1,1))+1)/('macs_ips'!$E$2:$E$403=$J$1),ROW(A351))),"")</f>
        <v/>
      </c>
      <c r="B353" s="40">
        <f>IFERROR(INDEX('macs_ips'!$B$2:$B$403,AGGREGATE(15,6,(ROW('macs_ips'!$A$2:$A$403)-ROW(INDEX('macs_ips'!$A$2:$A$403,1,1))+1)/('macs_ips'!$E$2:$E$403=$J$1),ROW(A351))),"")</f>
        <v/>
      </c>
      <c r="C353" s="40">
        <f>IFERROR(INDEX('macs_ips'!$C$2:$C$403,AGGREGATE(15,6,(ROW('macs_ips'!$A$2:$A$403)-ROW(INDEX('macs_ips'!$A$2:$A$403,1,1))+1)/('macs_ips'!$E$2:$E$403=$J$1),ROW(A351))),"")</f>
        <v/>
      </c>
      <c r="D353" s="41">
        <f>IFERROR(INDEX('macs_ips'!$D$2:$D$403,AGGREGATE(15,6,(ROW('macs_ips'!$A$2:$A$403)-ROW(INDEX('macs_ips'!$A$2:$A$403,1,1))+1)/('macs_ips'!$E$2:$E$403=$J$1),ROW(A351))),"")</f>
        <v/>
      </c>
      <c r="E353" s="40">
        <f>IFERROR(INDEX('macs_ips'!$E$2:$E$403,AGGREGATE(15,6,(ROW('macs_ips'!$A$2:$A$403)-ROW(INDEX('macs_ips'!$A$2:$A$403,1,1))+1)/('macs_ips'!$E$2:$E$403=$J$1),ROW(A351))),"")</f>
        <v/>
      </c>
      <c r="F353" s="41">
        <f>IFERROR(INDEX('macs_ips'!$F$2:$F$403,AGGREGATE(15,6,(ROW('macs_ips'!$A$2:$A$403)-ROW(INDEX('macs_ips'!$A$2:$A$403,1,1))+1)/('macs_ips'!$E$2:$E$403=$J$1),ROW(A351))),"")</f>
        <v/>
      </c>
      <c r="G353" s="40">
        <f>IFERROR(INDEX('macs_ips'!$G$2:$G$403,AGGREGATE(15,6,(ROW('macs_ips'!$A$2:$A$403)-ROW(INDEX('macs_ips'!$A$2:$A$403,1,1))+1)/('macs_ips'!$E$2:$E$403=$J$1),ROW(A351))),"")</f>
        <v/>
      </c>
    </row>
    <row r="354">
      <c r="A354" s="40">
        <f>IFERROR(INDEX('macs_ips'!$A$2:$A$403,AGGREGATE(15,6,(ROW('macs_ips'!$A$2:$A$403)-ROW(INDEX('macs_ips'!$A$2:$A$403,1,1))+1)/('macs_ips'!$E$2:$E$403=$J$1),ROW(A352))),"")</f>
        <v/>
      </c>
      <c r="B354" s="40">
        <f>IFERROR(INDEX('macs_ips'!$B$2:$B$403,AGGREGATE(15,6,(ROW('macs_ips'!$A$2:$A$403)-ROW(INDEX('macs_ips'!$A$2:$A$403,1,1))+1)/('macs_ips'!$E$2:$E$403=$J$1),ROW(A352))),"")</f>
        <v/>
      </c>
      <c r="C354" s="40">
        <f>IFERROR(INDEX('macs_ips'!$C$2:$C$403,AGGREGATE(15,6,(ROW('macs_ips'!$A$2:$A$403)-ROW(INDEX('macs_ips'!$A$2:$A$403,1,1))+1)/('macs_ips'!$E$2:$E$403=$J$1),ROW(A352))),"")</f>
        <v/>
      </c>
      <c r="D354" s="41">
        <f>IFERROR(INDEX('macs_ips'!$D$2:$D$403,AGGREGATE(15,6,(ROW('macs_ips'!$A$2:$A$403)-ROW(INDEX('macs_ips'!$A$2:$A$403,1,1))+1)/('macs_ips'!$E$2:$E$403=$J$1),ROW(A352))),"")</f>
        <v/>
      </c>
      <c r="E354" s="40">
        <f>IFERROR(INDEX('macs_ips'!$E$2:$E$403,AGGREGATE(15,6,(ROW('macs_ips'!$A$2:$A$403)-ROW(INDEX('macs_ips'!$A$2:$A$403,1,1))+1)/('macs_ips'!$E$2:$E$403=$J$1),ROW(A352))),"")</f>
        <v/>
      </c>
      <c r="F354" s="41">
        <f>IFERROR(INDEX('macs_ips'!$F$2:$F$403,AGGREGATE(15,6,(ROW('macs_ips'!$A$2:$A$403)-ROW(INDEX('macs_ips'!$A$2:$A$403,1,1))+1)/('macs_ips'!$E$2:$E$403=$J$1),ROW(A352))),"")</f>
        <v/>
      </c>
      <c r="G354" s="40">
        <f>IFERROR(INDEX('macs_ips'!$G$2:$G$403,AGGREGATE(15,6,(ROW('macs_ips'!$A$2:$A$403)-ROW(INDEX('macs_ips'!$A$2:$A$403,1,1))+1)/('macs_ips'!$E$2:$E$403=$J$1),ROW(A352))),"")</f>
        <v/>
      </c>
    </row>
    <row r="355">
      <c r="A355" s="40">
        <f>IFERROR(INDEX('macs_ips'!$A$2:$A$403,AGGREGATE(15,6,(ROW('macs_ips'!$A$2:$A$403)-ROW(INDEX('macs_ips'!$A$2:$A$403,1,1))+1)/('macs_ips'!$E$2:$E$403=$J$1),ROW(A353))),"")</f>
        <v/>
      </c>
      <c r="B355" s="40">
        <f>IFERROR(INDEX('macs_ips'!$B$2:$B$403,AGGREGATE(15,6,(ROW('macs_ips'!$A$2:$A$403)-ROW(INDEX('macs_ips'!$A$2:$A$403,1,1))+1)/('macs_ips'!$E$2:$E$403=$J$1),ROW(A353))),"")</f>
        <v/>
      </c>
      <c r="C355" s="40">
        <f>IFERROR(INDEX('macs_ips'!$C$2:$C$403,AGGREGATE(15,6,(ROW('macs_ips'!$A$2:$A$403)-ROW(INDEX('macs_ips'!$A$2:$A$403,1,1))+1)/('macs_ips'!$E$2:$E$403=$J$1),ROW(A353))),"")</f>
        <v/>
      </c>
      <c r="D355" s="41">
        <f>IFERROR(INDEX('macs_ips'!$D$2:$D$403,AGGREGATE(15,6,(ROW('macs_ips'!$A$2:$A$403)-ROW(INDEX('macs_ips'!$A$2:$A$403,1,1))+1)/('macs_ips'!$E$2:$E$403=$J$1),ROW(A353))),"")</f>
        <v/>
      </c>
      <c r="E355" s="40">
        <f>IFERROR(INDEX('macs_ips'!$E$2:$E$403,AGGREGATE(15,6,(ROW('macs_ips'!$A$2:$A$403)-ROW(INDEX('macs_ips'!$A$2:$A$403,1,1))+1)/('macs_ips'!$E$2:$E$403=$J$1),ROW(A353))),"")</f>
        <v/>
      </c>
      <c r="F355" s="41">
        <f>IFERROR(INDEX('macs_ips'!$F$2:$F$403,AGGREGATE(15,6,(ROW('macs_ips'!$A$2:$A$403)-ROW(INDEX('macs_ips'!$A$2:$A$403,1,1))+1)/('macs_ips'!$E$2:$E$403=$J$1),ROW(A353))),"")</f>
        <v/>
      </c>
      <c r="G355" s="40">
        <f>IFERROR(INDEX('macs_ips'!$G$2:$G$403,AGGREGATE(15,6,(ROW('macs_ips'!$A$2:$A$403)-ROW(INDEX('macs_ips'!$A$2:$A$403,1,1))+1)/('macs_ips'!$E$2:$E$403=$J$1),ROW(A353))),"")</f>
        <v/>
      </c>
    </row>
    <row r="356">
      <c r="A356" s="40">
        <f>IFERROR(INDEX('macs_ips'!$A$2:$A$403,AGGREGATE(15,6,(ROW('macs_ips'!$A$2:$A$403)-ROW(INDEX('macs_ips'!$A$2:$A$403,1,1))+1)/('macs_ips'!$E$2:$E$403=$J$1),ROW(A354))),"")</f>
        <v/>
      </c>
      <c r="B356" s="40">
        <f>IFERROR(INDEX('macs_ips'!$B$2:$B$403,AGGREGATE(15,6,(ROW('macs_ips'!$A$2:$A$403)-ROW(INDEX('macs_ips'!$A$2:$A$403,1,1))+1)/('macs_ips'!$E$2:$E$403=$J$1),ROW(A354))),"")</f>
        <v/>
      </c>
      <c r="C356" s="40">
        <f>IFERROR(INDEX('macs_ips'!$C$2:$C$403,AGGREGATE(15,6,(ROW('macs_ips'!$A$2:$A$403)-ROW(INDEX('macs_ips'!$A$2:$A$403,1,1))+1)/('macs_ips'!$E$2:$E$403=$J$1),ROW(A354))),"")</f>
        <v/>
      </c>
      <c r="D356" s="41">
        <f>IFERROR(INDEX('macs_ips'!$D$2:$D$403,AGGREGATE(15,6,(ROW('macs_ips'!$A$2:$A$403)-ROW(INDEX('macs_ips'!$A$2:$A$403,1,1))+1)/('macs_ips'!$E$2:$E$403=$J$1),ROW(A354))),"")</f>
        <v/>
      </c>
      <c r="E356" s="40">
        <f>IFERROR(INDEX('macs_ips'!$E$2:$E$403,AGGREGATE(15,6,(ROW('macs_ips'!$A$2:$A$403)-ROW(INDEX('macs_ips'!$A$2:$A$403,1,1))+1)/('macs_ips'!$E$2:$E$403=$J$1),ROW(A354))),"")</f>
        <v/>
      </c>
      <c r="F356" s="41">
        <f>IFERROR(INDEX('macs_ips'!$F$2:$F$403,AGGREGATE(15,6,(ROW('macs_ips'!$A$2:$A$403)-ROW(INDEX('macs_ips'!$A$2:$A$403,1,1))+1)/('macs_ips'!$E$2:$E$403=$J$1),ROW(A354))),"")</f>
        <v/>
      </c>
      <c r="G356" s="40">
        <f>IFERROR(INDEX('macs_ips'!$G$2:$G$403,AGGREGATE(15,6,(ROW('macs_ips'!$A$2:$A$403)-ROW(INDEX('macs_ips'!$A$2:$A$403,1,1))+1)/('macs_ips'!$E$2:$E$403=$J$1),ROW(A354))),"")</f>
        <v/>
      </c>
    </row>
    <row r="357">
      <c r="A357" s="40">
        <f>IFERROR(INDEX('macs_ips'!$A$2:$A$403,AGGREGATE(15,6,(ROW('macs_ips'!$A$2:$A$403)-ROW(INDEX('macs_ips'!$A$2:$A$403,1,1))+1)/('macs_ips'!$E$2:$E$403=$J$1),ROW(A355))),"")</f>
        <v/>
      </c>
      <c r="B357" s="40">
        <f>IFERROR(INDEX('macs_ips'!$B$2:$B$403,AGGREGATE(15,6,(ROW('macs_ips'!$A$2:$A$403)-ROW(INDEX('macs_ips'!$A$2:$A$403,1,1))+1)/('macs_ips'!$E$2:$E$403=$J$1),ROW(A355))),"")</f>
        <v/>
      </c>
      <c r="C357" s="40">
        <f>IFERROR(INDEX('macs_ips'!$C$2:$C$403,AGGREGATE(15,6,(ROW('macs_ips'!$A$2:$A$403)-ROW(INDEX('macs_ips'!$A$2:$A$403,1,1))+1)/('macs_ips'!$E$2:$E$403=$J$1),ROW(A355))),"")</f>
        <v/>
      </c>
      <c r="D357" s="41">
        <f>IFERROR(INDEX('macs_ips'!$D$2:$D$403,AGGREGATE(15,6,(ROW('macs_ips'!$A$2:$A$403)-ROW(INDEX('macs_ips'!$A$2:$A$403,1,1))+1)/('macs_ips'!$E$2:$E$403=$J$1),ROW(A355))),"")</f>
        <v/>
      </c>
      <c r="E357" s="40">
        <f>IFERROR(INDEX('macs_ips'!$E$2:$E$403,AGGREGATE(15,6,(ROW('macs_ips'!$A$2:$A$403)-ROW(INDEX('macs_ips'!$A$2:$A$403,1,1))+1)/('macs_ips'!$E$2:$E$403=$J$1),ROW(A355))),"")</f>
        <v/>
      </c>
      <c r="F357" s="41">
        <f>IFERROR(INDEX('macs_ips'!$F$2:$F$403,AGGREGATE(15,6,(ROW('macs_ips'!$A$2:$A$403)-ROW(INDEX('macs_ips'!$A$2:$A$403,1,1))+1)/('macs_ips'!$E$2:$E$403=$J$1),ROW(A355))),"")</f>
        <v/>
      </c>
      <c r="G357" s="40">
        <f>IFERROR(INDEX('macs_ips'!$G$2:$G$403,AGGREGATE(15,6,(ROW('macs_ips'!$A$2:$A$403)-ROW(INDEX('macs_ips'!$A$2:$A$403,1,1))+1)/('macs_ips'!$E$2:$E$403=$J$1),ROW(A355))),"")</f>
        <v/>
      </c>
    </row>
    <row r="358">
      <c r="A358" s="40">
        <f>IFERROR(INDEX('macs_ips'!$A$2:$A$403,AGGREGATE(15,6,(ROW('macs_ips'!$A$2:$A$403)-ROW(INDEX('macs_ips'!$A$2:$A$403,1,1))+1)/('macs_ips'!$E$2:$E$403=$J$1),ROW(A356))),"")</f>
        <v/>
      </c>
      <c r="B358" s="40">
        <f>IFERROR(INDEX('macs_ips'!$B$2:$B$403,AGGREGATE(15,6,(ROW('macs_ips'!$A$2:$A$403)-ROW(INDEX('macs_ips'!$A$2:$A$403,1,1))+1)/('macs_ips'!$E$2:$E$403=$J$1),ROW(A356))),"")</f>
        <v/>
      </c>
      <c r="C358" s="40">
        <f>IFERROR(INDEX('macs_ips'!$C$2:$C$403,AGGREGATE(15,6,(ROW('macs_ips'!$A$2:$A$403)-ROW(INDEX('macs_ips'!$A$2:$A$403,1,1))+1)/('macs_ips'!$E$2:$E$403=$J$1),ROW(A356))),"")</f>
        <v/>
      </c>
      <c r="D358" s="41">
        <f>IFERROR(INDEX('macs_ips'!$D$2:$D$403,AGGREGATE(15,6,(ROW('macs_ips'!$A$2:$A$403)-ROW(INDEX('macs_ips'!$A$2:$A$403,1,1))+1)/('macs_ips'!$E$2:$E$403=$J$1),ROW(A356))),"")</f>
        <v/>
      </c>
      <c r="E358" s="40">
        <f>IFERROR(INDEX('macs_ips'!$E$2:$E$403,AGGREGATE(15,6,(ROW('macs_ips'!$A$2:$A$403)-ROW(INDEX('macs_ips'!$A$2:$A$403,1,1))+1)/('macs_ips'!$E$2:$E$403=$J$1),ROW(A356))),"")</f>
        <v/>
      </c>
      <c r="F358" s="41">
        <f>IFERROR(INDEX('macs_ips'!$F$2:$F$403,AGGREGATE(15,6,(ROW('macs_ips'!$A$2:$A$403)-ROW(INDEX('macs_ips'!$A$2:$A$403,1,1))+1)/('macs_ips'!$E$2:$E$403=$J$1),ROW(A356))),"")</f>
        <v/>
      </c>
      <c r="G358" s="40">
        <f>IFERROR(INDEX('macs_ips'!$G$2:$G$403,AGGREGATE(15,6,(ROW('macs_ips'!$A$2:$A$403)-ROW(INDEX('macs_ips'!$A$2:$A$403,1,1))+1)/('macs_ips'!$E$2:$E$403=$J$1),ROW(A356))),"")</f>
        <v/>
      </c>
    </row>
    <row r="359">
      <c r="A359" s="40">
        <f>IFERROR(INDEX('macs_ips'!$A$2:$A$403,AGGREGATE(15,6,(ROW('macs_ips'!$A$2:$A$403)-ROW(INDEX('macs_ips'!$A$2:$A$403,1,1))+1)/('macs_ips'!$E$2:$E$403=$J$1),ROW(A357))),"")</f>
        <v/>
      </c>
      <c r="B359" s="40">
        <f>IFERROR(INDEX('macs_ips'!$B$2:$B$403,AGGREGATE(15,6,(ROW('macs_ips'!$A$2:$A$403)-ROW(INDEX('macs_ips'!$A$2:$A$403,1,1))+1)/('macs_ips'!$E$2:$E$403=$J$1),ROW(A357))),"")</f>
        <v/>
      </c>
      <c r="C359" s="40">
        <f>IFERROR(INDEX('macs_ips'!$C$2:$C$403,AGGREGATE(15,6,(ROW('macs_ips'!$A$2:$A$403)-ROW(INDEX('macs_ips'!$A$2:$A$403,1,1))+1)/('macs_ips'!$E$2:$E$403=$J$1),ROW(A357))),"")</f>
        <v/>
      </c>
      <c r="D359" s="41">
        <f>IFERROR(INDEX('macs_ips'!$D$2:$D$403,AGGREGATE(15,6,(ROW('macs_ips'!$A$2:$A$403)-ROW(INDEX('macs_ips'!$A$2:$A$403,1,1))+1)/('macs_ips'!$E$2:$E$403=$J$1),ROW(A357))),"")</f>
        <v/>
      </c>
      <c r="E359" s="40">
        <f>IFERROR(INDEX('macs_ips'!$E$2:$E$403,AGGREGATE(15,6,(ROW('macs_ips'!$A$2:$A$403)-ROW(INDEX('macs_ips'!$A$2:$A$403,1,1))+1)/('macs_ips'!$E$2:$E$403=$J$1),ROW(A357))),"")</f>
        <v/>
      </c>
      <c r="F359" s="41">
        <f>IFERROR(INDEX('macs_ips'!$F$2:$F$403,AGGREGATE(15,6,(ROW('macs_ips'!$A$2:$A$403)-ROW(INDEX('macs_ips'!$A$2:$A$403,1,1))+1)/('macs_ips'!$E$2:$E$403=$J$1),ROW(A357))),"")</f>
        <v/>
      </c>
      <c r="G359" s="40">
        <f>IFERROR(INDEX('macs_ips'!$G$2:$G$403,AGGREGATE(15,6,(ROW('macs_ips'!$A$2:$A$403)-ROW(INDEX('macs_ips'!$A$2:$A$403,1,1))+1)/('macs_ips'!$E$2:$E$403=$J$1),ROW(A357))),"")</f>
        <v/>
      </c>
    </row>
    <row r="360">
      <c r="A360" s="40">
        <f>IFERROR(INDEX('macs_ips'!$A$2:$A$403,AGGREGATE(15,6,(ROW('macs_ips'!$A$2:$A$403)-ROW(INDEX('macs_ips'!$A$2:$A$403,1,1))+1)/('macs_ips'!$E$2:$E$403=$J$1),ROW(A358))),"")</f>
        <v/>
      </c>
      <c r="B360" s="40">
        <f>IFERROR(INDEX('macs_ips'!$B$2:$B$403,AGGREGATE(15,6,(ROW('macs_ips'!$A$2:$A$403)-ROW(INDEX('macs_ips'!$A$2:$A$403,1,1))+1)/('macs_ips'!$E$2:$E$403=$J$1),ROW(A358))),"")</f>
        <v/>
      </c>
      <c r="C360" s="40">
        <f>IFERROR(INDEX('macs_ips'!$C$2:$C$403,AGGREGATE(15,6,(ROW('macs_ips'!$A$2:$A$403)-ROW(INDEX('macs_ips'!$A$2:$A$403,1,1))+1)/('macs_ips'!$E$2:$E$403=$J$1),ROW(A358))),"")</f>
        <v/>
      </c>
      <c r="D360" s="41">
        <f>IFERROR(INDEX('macs_ips'!$D$2:$D$403,AGGREGATE(15,6,(ROW('macs_ips'!$A$2:$A$403)-ROW(INDEX('macs_ips'!$A$2:$A$403,1,1))+1)/('macs_ips'!$E$2:$E$403=$J$1),ROW(A358))),"")</f>
        <v/>
      </c>
      <c r="E360" s="40">
        <f>IFERROR(INDEX('macs_ips'!$E$2:$E$403,AGGREGATE(15,6,(ROW('macs_ips'!$A$2:$A$403)-ROW(INDEX('macs_ips'!$A$2:$A$403,1,1))+1)/('macs_ips'!$E$2:$E$403=$J$1),ROW(A358))),"")</f>
        <v/>
      </c>
      <c r="F360" s="41">
        <f>IFERROR(INDEX('macs_ips'!$F$2:$F$403,AGGREGATE(15,6,(ROW('macs_ips'!$A$2:$A$403)-ROW(INDEX('macs_ips'!$A$2:$A$403,1,1))+1)/('macs_ips'!$E$2:$E$403=$J$1),ROW(A358))),"")</f>
        <v/>
      </c>
      <c r="G360" s="40">
        <f>IFERROR(INDEX('macs_ips'!$G$2:$G$403,AGGREGATE(15,6,(ROW('macs_ips'!$A$2:$A$403)-ROW(INDEX('macs_ips'!$A$2:$A$403,1,1))+1)/('macs_ips'!$E$2:$E$403=$J$1),ROW(A358))),"")</f>
        <v/>
      </c>
    </row>
    <row r="361">
      <c r="A361" s="40">
        <f>IFERROR(INDEX('macs_ips'!$A$2:$A$403,AGGREGATE(15,6,(ROW('macs_ips'!$A$2:$A$403)-ROW(INDEX('macs_ips'!$A$2:$A$403,1,1))+1)/('macs_ips'!$E$2:$E$403=$J$1),ROW(A359))),"")</f>
        <v/>
      </c>
      <c r="B361" s="40">
        <f>IFERROR(INDEX('macs_ips'!$B$2:$B$403,AGGREGATE(15,6,(ROW('macs_ips'!$A$2:$A$403)-ROW(INDEX('macs_ips'!$A$2:$A$403,1,1))+1)/('macs_ips'!$E$2:$E$403=$J$1),ROW(A359))),"")</f>
        <v/>
      </c>
      <c r="C361" s="40">
        <f>IFERROR(INDEX('macs_ips'!$C$2:$C$403,AGGREGATE(15,6,(ROW('macs_ips'!$A$2:$A$403)-ROW(INDEX('macs_ips'!$A$2:$A$403,1,1))+1)/('macs_ips'!$E$2:$E$403=$J$1),ROW(A359))),"")</f>
        <v/>
      </c>
      <c r="D361" s="41">
        <f>IFERROR(INDEX('macs_ips'!$D$2:$D$403,AGGREGATE(15,6,(ROW('macs_ips'!$A$2:$A$403)-ROW(INDEX('macs_ips'!$A$2:$A$403,1,1))+1)/('macs_ips'!$E$2:$E$403=$J$1),ROW(A359))),"")</f>
        <v/>
      </c>
      <c r="E361" s="40">
        <f>IFERROR(INDEX('macs_ips'!$E$2:$E$403,AGGREGATE(15,6,(ROW('macs_ips'!$A$2:$A$403)-ROW(INDEX('macs_ips'!$A$2:$A$403,1,1))+1)/('macs_ips'!$E$2:$E$403=$J$1),ROW(A359))),"")</f>
        <v/>
      </c>
      <c r="F361" s="41">
        <f>IFERROR(INDEX('macs_ips'!$F$2:$F$403,AGGREGATE(15,6,(ROW('macs_ips'!$A$2:$A$403)-ROW(INDEX('macs_ips'!$A$2:$A$403,1,1))+1)/('macs_ips'!$E$2:$E$403=$J$1),ROW(A359))),"")</f>
        <v/>
      </c>
      <c r="G361" s="40">
        <f>IFERROR(INDEX('macs_ips'!$G$2:$G$403,AGGREGATE(15,6,(ROW('macs_ips'!$A$2:$A$403)-ROW(INDEX('macs_ips'!$A$2:$A$403,1,1))+1)/('macs_ips'!$E$2:$E$403=$J$1),ROW(A359))),"")</f>
        <v/>
      </c>
    </row>
    <row r="362">
      <c r="A362" s="40">
        <f>IFERROR(INDEX('macs_ips'!$A$2:$A$403,AGGREGATE(15,6,(ROW('macs_ips'!$A$2:$A$403)-ROW(INDEX('macs_ips'!$A$2:$A$403,1,1))+1)/('macs_ips'!$E$2:$E$403=$J$1),ROW(A360))),"")</f>
        <v/>
      </c>
      <c r="B362" s="40">
        <f>IFERROR(INDEX('macs_ips'!$B$2:$B$403,AGGREGATE(15,6,(ROW('macs_ips'!$A$2:$A$403)-ROW(INDEX('macs_ips'!$A$2:$A$403,1,1))+1)/('macs_ips'!$E$2:$E$403=$J$1),ROW(A360))),"")</f>
        <v/>
      </c>
      <c r="C362" s="40">
        <f>IFERROR(INDEX('macs_ips'!$C$2:$C$403,AGGREGATE(15,6,(ROW('macs_ips'!$A$2:$A$403)-ROW(INDEX('macs_ips'!$A$2:$A$403,1,1))+1)/('macs_ips'!$E$2:$E$403=$J$1),ROW(A360))),"")</f>
        <v/>
      </c>
      <c r="D362" s="41">
        <f>IFERROR(INDEX('macs_ips'!$D$2:$D$403,AGGREGATE(15,6,(ROW('macs_ips'!$A$2:$A$403)-ROW(INDEX('macs_ips'!$A$2:$A$403,1,1))+1)/('macs_ips'!$E$2:$E$403=$J$1),ROW(A360))),"")</f>
        <v/>
      </c>
      <c r="E362" s="40">
        <f>IFERROR(INDEX('macs_ips'!$E$2:$E$403,AGGREGATE(15,6,(ROW('macs_ips'!$A$2:$A$403)-ROW(INDEX('macs_ips'!$A$2:$A$403,1,1))+1)/('macs_ips'!$E$2:$E$403=$J$1),ROW(A360))),"")</f>
        <v/>
      </c>
      <c r="F362" s="41">
        <f>IFERROR(INDEX('macs_ips'!$F$2:$F$403,AGGREGATE(15,6,(ROW('macs_ips'!$A$2:$A$403)-ROW(INDEX('macs_ips'!$A$2:$A$403,1,1))+1)/('macs_ips'!$E$2:$E$403=$J$1),ROW(A360))),"")</f>
        <v/>
      </c>
      <c r="G362" s="40">
        <f>IFERROR(INDEX('macs_ips'!$G$2:$G$403,AGGREGATE(15,6,(ROW('macs_ips'!$A$2:$A$403)-ROW(INDEX('macs_ips'!$A$2:$A$403,1,1))+1)/('macs_ips'!$E$2:$E$403=$J$1),ROW(A360))),"")</f>
        <v/>
      </c>
    </row>
    <row r="363">
      <c r="A363" s="40">
        <f>IFERROR(INDEX('macs_ips'!$A$2:$A$403,AGGREGATE(15,6,(ROW('macs_ips'!$A$2:$A$403)-ROW(INDEX('macs_ips'!$A$2:$A$403,1,1))+1)/('macs_ips'!$E$2:$E$403=$J$1),ROW(A361))),"")</f>
        <v/>
      </c>
      <c r="B363" s="40">
        <f>IFERROR(INDEX('macs_ips'!$B$2:$B$403,AGGREGATE(15,6,(ROW('macs_ips'!$A$2:$A$403)-ROW(INDEX('macs_ips'!$A$2:$A$403,1,1))+1)/('macs_ips'!$E$2:$E$403=$J$1),ROW(A361))),"")</f>
        <v/>
      </c>
      <c r="C363" s="40">
        <f>IFERROR(INDEX('macs_ips'!$C$2:$C$403,AGGREGATE(15,6,(ROW('macs_ips'!$A$2:$A$403)-ROW(INDEX('macs_ips'!$A$2:$A$403,1,1))+1)/('macs_ips'!$E$2:$E$403=$J$1),ROW(A361))),"")</f>
        <v/>
      </c>
      <c r="D363" s="41">
        <f>IFERROR(INDEX('macs_ips'!$D$2:$D$403,AGGREGATE(15,6,(ROW('macs_ips'!$A$2:$A$403)-ROW(INDEX('macs_ips'!$A$2:$A$403,1,1))+1)/('macs_ips'!$E$2:$E$403=$J$1),ROW(A361))),"")</f>
        <v/>
      </c>
      <c r="E363" s="40">
        <f>IFERROR(INDEX('macs_ips'!$E$2:$E$403,AGGREGATE(15,6,(ROW('macs_ips'!$A$2:$A$403)-ROW(INDEX('macs_ips'!$A$2:$A$403,1,1))+1)/('macs_ips'!$E$2:$E$403=$J$1),ROW(A361))),"")</f>
        <v/>
      </c>
      <c r="F363" s="41">
        <f>IFERROR(INDEX('macs_ips'!$F$2:$F$403,AGGREGATE(15,6,(ROW('macs_ips'!$A$2:$A$403)-ROW(INDEX('macs_ips'!$A$2:$A$403,1,1))+1)/('macs_ips'!$E$2:$E$403=$J$1),ROW(A361))),"")</f>
        <v/>
      </c>
      <c r="G363" s="40">
        <f>IFERROR(INDEX('macs_ips'!$G$2:$G$403,AGGREGATE(15,6,(ROW('macs_ips'!$A$2:$A$403)-ROW(INDEX('macs_ips'!$A$2:$A$403,1,1))+1)/('macs_ips'!$E$2:$E$403=$J$1),ROW(A361))),"")</f>
        <v/>
      </c>
    </row>
    <row r="364">
      <c r="A364" s="40">
        <f>IFERROR(INDEX('macs_ips'!$A$2:$A$403,AGGREGATE(15,6,(ROW('macs_ips'!$A$2:$A$403)-ROW(INDEX('macs_ips'!$A$2:$A$403,1,1))+1)/('macs_ips'!$E$2:$E$403=$J$1),ROW(A362))),"")</f>
        <v/>
      </c>
      <c r="B364" s="40">
        <f>IFERROR(INDEX('macs_ips'!$B$2:$B$403,AGGREGATE(15,6,(ROW('macs_ips'!$A$2:$A$403)-ROW(INDEX('macs_ips'!$A$2:$A$403,1,1))+1)/('macs_ips'!$E$2:$E$403=$J$1),ROW(A362))),"")</f>
        <v/>
      </c>
      <c r="C364" s="40">
        <f>IFERROR(INDEX('macs_ips'!$C$2:$C$403,AGGREGATE(15,6,(ROW('macs_ips'!$A$2:$A$403)-ROW(INDEX('macs_ips'!$A$2:$A$403,1,1))+1)/('macs_ips'!$E$2:$E$403=$J$1),ROW(A362))),"")</f>
        <v/>
      </c>
      <c r="D364" s="41">
        <f>IFERROR(INDEX('macs_ips'!$D$2:$D$403,AGGREGATE(15,6,(ROW('macs_ips'!$A$2:$A$403)-ROW(INDEX('macs_ips'!$A$2:$A$403,1,1))+1)/('macs_ips'!$E$2:$E$403=$J$1),ROW(A362))),"")</f>
        <v/>
      </c>
      <c r="E364" s="40">
        <f>IFERROR(INDEX('macs_ips'!$E$2:$E$403,AGGREGATE(15,6,(ROW('macs_ips'!$A$2:$A$403)-ROW(INDEX('macs_ips'!$A$2:$A$403,1,1))+1)/('macs_ips'!$E$2:$E$403=$J$1),ROW(A362))),"")</f>
        <v/>
      </c>
      <c r="F364" s="41">
        <f>IFERROR(INDEX('macs_ips'!$F$2:$F$403,AGGREGATE(15,6,(ROW('macs_ips'!$A$2:$A$403)-ROW(INDEX('macs_ips'!$A$2:$A$403,1,1))+1)/('macs_ips'!$E$2:$E$403=$J$1),ROW(A362))),"")</f>
        <v/>
      </c>
      <c r="G364" s="40">
        <f>IFERROR(INDEX('macs_ips'!$G$2:$G$403,AGGREGATE(15,6,(ROW('macs_ips'!$A$2:$A$403)-ROW(INDEX('macs_ips'!$A$2:$A$403,1,1))+1)/('macs_ips'!$E$2:$E$403=$J$1),ROW(A362))),"")</f>
        <v/>
      </c>
    </row>
    <row r="365">
      <c r="A365" s="40">
        <f>IFERROR(INDEX('macs_ips'!$A$2:$A$403,AGGREGATE(15,6,(ROW('macs_ips'!$A$2:$A$403)-ROW(INDEX('macs_ips'!$A$2:$A$403,1,1))+1)/('macs_ips'!$E$2:$E$403=$J$1),ROW(A363))),"")</f>
        <v/>
      </c>
      <c r="B365" s="40">
        <f>IFERROR(INDEX('macs_ips'!$B$2:$B$403,AGGREGATE(15,6,(ROW('macs_ips'!$A$2:$A$403)-ROW(INDEX('macs_ips'!$A$2:$A$403,1,1))+1)/('macs_ips'!$E$2:$E$403=$J$1),ROW(A363))),"")</f>
        <v/>
      </c>
      <c r="C365" s="40">
        <f>IFERROR(INDEX('macs_ips'!$C$2:$C$403,AGGREGATE(15,6,(ROW('macs_ips'!$A$2:$A$403)-ROW(INDEX('macs_ips'!$A$2:$A$403,1,1))+1)/('macs_ips'!$E$2:$E$403=$J$1),ROW(A363))),"")</f>
        <v/>
      </c>
      <c r="D365" s="41">
        <f>IFERROR(INDEX('macs_ips'!$D$2:$D$403,AGGREGATE(15,6,(ROW('macs_ips'!$A$2:$A$403)-ROW(INDEX('macs_ips'!$A$2:$A$403,1,1))+1)/('macs_ips'!$E$2:$E$403=$J$1),ROW(A363))),"")</f>
        <v/>
      </c>
      <c r="E365" s="40">
        <f>IFERROR(INDEX('macs_ips'!$E$2:$E$403,AGGREGATE(15,6,(ROW('macs_ips'!$A$2:$A$403)-ROW(INDEX('macs_ips'!$A$2:$A$403,1,1))+1)/('macs_ips'!$E$2:$E$403=$J$1),ROW(A363))),"")</f>
        <v/>
      </c>
      <c r="F365" s="41">
        <f>IFERROR(INDEX('macs_ips'!$F$2:$F$403,AGGREGATE(15,6,(ROW('macs_ips'!$A$2:$A$403)-ROW(INDEX('macs_ips'!$A$2:$A$403,1,1))+1)/('macs_ips'!$E$2:$E$403=$J$1),ROW(A363))),"")</f>
        <v/>
      </c>
      <c r="G365" s="40">
        <f>IFERROR(INDEX('macs_ips'!$G$2:$G$403,AGGREGATE(15,6,(ROW('macs_ips'!$A$2:$A$403)-ROW(INDEX('macs_ips'!$A$2:$A$403,1,1))+1)/('macs_ips'!$E$2:$E$403=$J$1),ROW(A363))),"")</f>
        <v/>
      </c>
    </row>
    <row r="366">
      <c r="A366" s="40">
        <f>IFERROR(INDEX('macs_ips'!$A$2:$A$403,AGGREGATE(15,6,(ROW('macs_ips'!$A$2:$A$403)-ROW(INDEX('macs_ips'!$A$2:$A$403,1,1))+1)/('macs_ips'!$E$2:$E$403=$J$1),ROW(A364))),"")</f>
        <v/>
      </c>
      <c r="B366" s="40">
        <f>IFERROR(INDEX('macs_ips'!$B$2:$B$403,AGGREGATE(15,6,(ROW('macs_ips'!$A$2:$A$403)-ROW(INDEX('macs_ips'!$A$2:$A$403,1,1))+1)/('macs_ips'!$E$2:$E$403=$J$1),ROW(A364))),"")</f>
        <v/>
      </c>
      <c r="C366" s="40">
        <f>IFERROR(INDEX('macs_ips'!$C$2:$C$403,AGGREGATE(15,6,(ROW('macs_ips'!$A$2:$A$403)-ROW(INDEX('macs_ips'!$A$2:$A$403,1,1))+1)/('macs_ips'!$E$2:$E$403=$J$1),ROW(A364))),"")</f>
        <v/>
      </c>
      <c r="D366" s="41">
        <f>IFERROR(INDEX('macs_ips'!$D$2:$D$403,AGGREGATE(15,6,(ROW('macs_ips'!$A$2:$A$403)-ROW(INDEX('macs_ips'!$A$2:$A$403,1,1))+1)/('macs_ips'!$E$2:$E$403=$J$1),ROW(A364))),"")</f>
        <v/>
      </c>
      <c r="E366" s="40">
        <f>IFERROR(INDEX('macs_ips'!$E$2:$E$403,AGGREGATE(15,6,(ROW('macs_ips'!$A$2:$A$403)-ROW(INDEX('macs_ips'!$A$2:$A$403,1,1))+1)/('macs_ips'!$E$2:$E$403=$J$1),ROW(A364))),"")</f>
        <v/>
      </c>
      <c r="F366" s="41">
        <f>IFERROR(INDEX('macs_ips'!$F$2:$F$403,AGGREGATE(15,6,(ROW('macs_ips'!$A$2:$A$403)-ROW(INDEX('macs_ips'!$A$2:$A$403,1,1))+1)/('macs_ips'!$E$2:$E$403=$J$1),ROW(A364))),"")</f>
        <v/>
      </c>
      <c r="G366" s="40">
        <f>IFERROR(INDEX('macs_ips'!$G$2:$G$403,AGGREGATE(15,6,(ROW('macs_ips'!$A$2:$A$403)-ROW(INDEX('macs_ips'!$A$2:$A$403,1,1))+1)/('macs_ips'!$E$2:$E$403=$J$1),ROW(A364))),"")</f>
        <v/>
      </c>
    </row>
    <row r="367">
      <c r="A367" s="40">
        <f>IFERROR(INDEX('macs_ips'!$A$2:$A$403,AGGREGATE(15,6,(ROW('macs_ips'!$A$2:$A$403)-ROW(INDEX('macs_ips'!$A$2:$A$403,1,1))+1)/('macs_ips'!$E$2:$E$403=$J$1),ROW(A365))),"")</f>
        <v/>
      </c>
      <c r="B367" s="40">
        <f>IFERROR(INDEX('macs_ips'!$B$2:$B$403,AGGREGATE(15,6,(ROW('macs_ips'!$A$2:$A$403)-ROW(INDEX('macs_ips'!$A$2:$A$403,1,1))+1)/('macs_ips'!$E$2:$E$403=$J$1),ROW(A365))),"")</f>
        <v/>
      </c>
      <c r="C367" s="40">
        <f>IFERROR(INDEX('macs_ips'!$C$2:$C$403,AGGREGATE(15,6,(ROW('macs_ips'!$A$2:$A$403)-ROW(INDEX('macs_ips'!$A$2:$A$403,1,1))+1)/('macs_ips'!$E$2:$E$403=$J$1),ROW(A365))),"")</f>
        <v/>
      </c>
      <c r="D367" s="41">
        <f>IFERROR(INDEX('macs_ips'!$D$2:$D$403,AGGREGATE(15,6,(ROW('macs_ips'!$A$2:$A$403)-ROW(INDEX('macs_ips'!$A$2:$A$403,1,1))+1)/('macs_ips'!$E$2:$E$403=$J$1),ROW(A365))),"")</f>
        <v/>
      </c>
      <c r="E367" s="40">
        <f>IFERROR(INDEX('macs_ips'!$E$2:$E$403,AGGREGATE(15,6,(ROW('macs_ips'!$A$2:$A$403)-ROW(INDEX('macs_ips'!$A$2:$A$403,1,1))+1)/('macs_ips'!$E$2:$E$403=$J$1),ROW(A365))),"")</f>
        <v/>
      </c>
      <c r="F367" s="41">
        <f>IFERROR(INDEX('macs_ips'!$F$2:$F$403,AGGREGATE(15,6,(ROW('macs_ips'!$A$2:$A$403)-ROW(INDEX('macs_ips'!$A$2:$A$403,1,1))+1)/('macs_ips'!$E$2:$E$403=$J$1),ROW(A365))),"")</f>
        <v/>
      </c>
      <c r="G367" s="40">
        <f>IFERROR(INDEX('macs_ips'!$G$2:$G$403,AGGREGATE(15,6,(ROW('macs_ips'!$A$2:$A$403)-ROW(INDEX('macs_ips'!$A$2:$A$403,1,1))+1)/('macs_ips'!$E$2:$E$403=$J$1),ROW(A365))),"")</f>
        <v/>
      </c>
    </row>
    <row r="368">
      <c r="A368" s="40">
        <f>IFERROR(INDEX('macs_ips'!$A$2:$A$403,AGGREGATE(15,6,(ROW('macs_ips'!$A$2:$A$403)-ROW(INDEX('macs_ips'!$A$2:$A$403,1,1))+1)/('macs_ips'!$E$2:$E$403=$J$1),ROW(A366))),"")</f>
        <v/>
      </c>
      <c r="B368" s="40">
        <f>IFERROR(INDEX('macs_ips'!$B$2:$B$403,AGGREGATE(15,6,(ROW('macs_ips'!$A$2:$A$403)-ROW(INDEX('macs_ips'!$A$2:$A$403,1,1))+1)/('macs_ips'!$E$2:$E$403=$J$1),ROW(A366))),"")</f>
        <v/>
      </c>
      <c r="C368" s="40">
        <f>IFERROR(INDEX('macs_ips'!$C$2:$C$403,AGGREGATE(15,6,(ROW('macs_ips'!$A$2:$A$403)-ROW(INDEX('macs_ips'!$A$2:$A$403,1,1))+1)/('macs_ips'!$E$2:$E$403=$J$1),ROW(A366))),"")</f>
        <v/>
      </c>
      <c r="D368" s="41">
        <f>IFERROR(INDEX('macs_ips'!$D$2:$D$403,AGGREGATE(15,6,(ROW('macs_ips'!$A$2:$A$403)-ROW(INDEX('macs_ips'!$A$2:$A$403,1,1))+1)/('macs_ips'!$E$2:$E$403=$J$1),ROW(A366))),"")</f>
        <v/>
      </c>
      <c r="E368" s="40">
        <f>IFERROR(INDEX('macs_ips'!$E$2:$E$403,AGGREGATE(15,6,(ROW('macs_ips'!$A$2:$A$403)-ROW(INDEX('macs_ips'!$A$2:$A$403,1,1))+1)/('macs_ips'!$E$2:$E$403=$J$1),ROW(A366))),"")</f>
        <v/>
      </c>
      <c r="F368" s="41">
        <f>IFERROR(INDEX('macs_ips'!$F$2:$F$403,AGGREGATE(15,6,(ROW('macs_ips'!$A$2:$A$403)-ROW(INDEX('macs_ips'!$A$2:$A$403,1,1))+1)/('macs_ips'!$E$2:$E$403=$J$1),ROW(A366))),"")</f>
        <v/>
      </c>
      <c r="G368" s="40">
        <f>IFERROR(INDEX('macs_ips'!$G$2:$G$403,AGGREGATE(15,6,(ROW('macs_ips'!$A$2:$A$403)-ROW(INDEX('macs_ips'!$A$2:$A$403,1,1))+1)/('macs_ips'!$E$2:$E$403=$J$1),ROW(A366))),"")</f>
        <v/>
      </c>
    </row>
    <row r="369">
      <c r="A369" s="40">
        <f>IFERROR(INDEX('macs_ips'!$A$2:$A$403,AGGREGATE(15,6,(ROW('macs_ips'!$A$2:$A$403)-ROW(INDEX('macs_ips'!$A$2:$A$403,1,1))+1)/('macs_ips'!$E$2:$E$403=$J$1),ROW(A367))),"")</f>
        <v/>
      </c>
      <c r="B369" s="40">
        <f>IFERROR(INDEX('macs_ips'!$B$2:$B$403,AGGREGATE(15,6,(ROW('macs_ips'!$A$2:$A$403)-ROW(INDEX('macs_ips'!$A$2:$A$403,1,1))+1)/('macs_ips'!$E$2:$E$403=$J$1),ROW(A367))),"")</f>
        <v/>
      </c>
      <c r="C369" s="40">
        <f>IFERROR(INDEX('macs_ips'!$C$2:$C$403,AGGREGATE(15,6,(ROW('macs_ips'!$A$2:$A$403)-ROW(INDEX('macs_ips'!$A$2:$A$403,1,1))+1)/('macs_ips'!$E$2:$E$403=$J$1),ROW(A367))),"")</f>
        <v/>
      </c>
      <c r="D369" s="41">
        <f>IFERROR(INDEX('macs_ips'!$D$2:$D$403,AGGREGATE(15,6,(ROW('macs_ips'!$A$2:$A$403)-ROW(INDEX('macs_ips'!$A$2:$A$403,1,1))+1)/('macs_ips'!$E$2:$E$403=$J$1),ROW(A367))),"")</f>
        <v/>
      </c>
      <c r="E369" s="40">
        <f>IFERROR(INDEX('macs_ips'!$E$2:$E$403,AGGREGATE(15,6,(ROW('macs_ips'!$A$2:$A$403)-ROW(INDEX('macs_ips'!$A$2:$A$403,1,1))+1)/('macs_ips'!$E$2:$E$403=$J$1),ROW(A367))),"")</f>
        <v/>
      </c>
      <c r="F369" s="41">
        <f>IFERROR(INDEX('macs_ips'!$F$2:$F$403,AGGREGATE(15,6,(ROW('macs_ips'!$A$2:$A$403)-ROW(INDEX('macs_ips'!$A$2:$A$403,1,1))+1)/('macs_ips'!$E$2:$E$403=$J$1),ROW(A367))),"")</f>
        <v/>
      </c>
      <c r="G369" s="40">
        <f>IFERROR(INDEX('macs_ips'!$G$2:$G$403,AGGREGATE(15,6,(ROW('macs_ips'!$A$2:$A$403)-ROW(INDEX('macs_ips'!$A$2:$A$403,1,1))+1)/('macs_ips'!$E$2:$E$403=$J$1),ROW(A367))),"")</f>
        <v/>
      </c>
    </row>
    <row r="370">
      <c r="A370" s="40">
        <f>IFERROR(INDEX('macs_ips'!$A$2:$A$403,AGGREGATE(15,6,(ROW('macs_ips'!$A$2:$A$403)-ROW(INDEX('macs_ips'!$A$2:$A$403,1,1))+1)/('macs_ips'!$E$2:$E$403=$J$1),ROW(A368))),"")</f>
        <v/>
      </c>
      <c r="B370" s="40">
        <f>IFERROR(INDEX('macs_ips'!$B$2:$B$403,AGGREGATE(15,6,(ROW('macs_ips'!$A$2:$A$403)-ROW(INDEX('macs_ips'!$A$2:$A$403,1,1))+1)/('macs_ips'!$E$2:$E$403=$J$1),ROW(A368))),"")</f>
        <v/>
      </c>
      <c r="C370" s="40">
        <f>IFERROR(INDEX('macs_ips'!$C$2:$C$403,AGGREGATE(15,6,(ROW('macs_ips'!$A$2:$A$403)-ROW(INDEX('macs_ips'!$A$2:$A$403,1,1))+1)/('macs_ips'!$E$2:$E$403=$J$1),ROW(A368))),"")</f>
        <v/>
      </c>
      <c r="D370" s="41">
        <f>IFERROR(INDEX('macs_ips'!$D$2:$D$403,AGGREGATE(15,6,(ROW('macs_ips'!$A$2:$A$403)-ROW(INDEX('macs_ips'!$A$2:$A$403,1,1))+1)/('macs_ips'!$E$2:$E$403=$J$1),ROW(A368))),"")</f>
        <v/>
      </c>
      <c r="E370" s="40">
        <f>IFERROR(INDEX('macs_ips'!$E$2:$E$403,AGGREGATE(15,6,(ROW('macs_ips'!$A$2:$A$403)-ROW(INDEX('macs_ips'!$A$2:$A$403,1,1))+1)/('macs_ips'!$E$2:$E$403=$J$1),ROW(A368))),"")</f>
        <v/>
      </c>
      <c r="F370" s="41">
        <f>IFERROR(INDEX('macs_ips'!$F$2:$F$403,AGGREGATE(15,6,(ROW('macs_ips'!$A$2:$A$403)-ROW(INDEX('macs_ips'!$A$2:$A$403,1,1))+1)/('macs_ips'!$E$2:$E$403=$J$1),ROW(A368))),"")</f>
        <v/>
      </c>
      <c r="G370" s="40">
        <f>IFERROR(INDEX('macs_ips'!$G$2:$G$403,AGGREGATE(15,6,(ROW('macs_ips'!$A$2:$A$403)-ROW(INDEX('macs_ips'!$A$2:$A$403,1,1))+1)/('macs_ips'!$E$2:$E$403=$J$1),ROW(A368))),"")</f>
        <v/>
      </c>
    </row>
    <row r="371">
      <c r="A371" s="40">
        <f>IFERROR(INDEX('macs_ips'!$A$2:$A$403,AGGREGATE(15,6,(ROW('macs_ips'!$A$2:$A$403)-ROW(INDEX('macs_ips'!$A$2:$A$403,1,1))+1)/('macs_ips'!$E$2:$E$403=$J$1),ROW(A369))),"")</f>
        <v/>
      </c>
      <c r="B371" s="40">
        <f>IFERROR(INDEX('macs_ips'!$B$2:$B$403,AGGREGATE(15,6,(ROW('macs_ips'!$A$2:$A$403)-ROW(INDEX('macs_ips'!$A$2:$A$403,1,1))+1)/('macs_ips'!$E$2:$E$403=$J$1),ROW(A369))),"")</f>
        <v/>
      </c>
      <c r="C371" s="40">
        <f>IFERROR(INDEX('macs_ips'!$C$2:$C$403,AGGREGATE(15,6,(ROW('macs_ips'!$A$2:$A$403)-ROW(INDEX('macs_ips'!$A$2:$A$403,1,1))+1)/('macs_ips'!$E$2:$E$403=$J$1),ROW(A369))),"")</f>
        <v/>
      </c>
      <c r="D371" s="41">
        <f>IFERROR(INDEX('macs_ips'!$D$2:$D$403,AGGREGATE(15,6,(ROW('macs_ips'!$A$2:$A$403)-ROW(INDEX('macs_ips'!$A$2:$A$403,1,1))+1)/('macs_ips'!$E$2:$E$403=$J$1),ROW(A369))),"")</f>
        <v/>
      </c>
      <c r="E371" s="40">
        <f>IFERROR(INDEX('macs_ips'!$E$2:$E$403,AGGREGATE(15,6,(ROW('macs_ips'!$A$2:$A$403)-ROW(INDEX('macs_ips'!$A$2:$A$403,1,1))+1)/('macs_ips'!$E$2:$E$403=$J$1),ROW(A369))),"")</f>
        <v/>
      </c>
      <c r="F371" s="41">
        <f>IFERROR(INDEX('macs_ips'!$F$2:$F$403,AGGREGATE(15,6,(ROW('macs_ips'!$A$2:$A$403)-ROW(INDEX('macs_ips'!$A$2:$A$403,1,1))+1)/('macs_ips'!$E$2:$E$403=$J$1),ROW(A369))),"")</f>
        <v/>
      </c>
      <c r="G371" s="40">
        <f>IFERROR(INDEX('macs_ips'!$G$2:$G$403,AGGREGATE(15,6,(ROW('macs_ips'!$A$2:$A$403)-ROW(INDEX('macs_ips'!$A$2:$A$403,1,1))+1)/('macs_ips'!$E$2:$E$403=$J$1),ROW(A369))),"")</f>
        <v/>
      </c>
    </row>
    <row r="372">
      <c r="A372" s="40">
        <f>IFERROR(INDEX('macs_ips'!$A$2:$A$403,AGGREGATE(15,6,(ROW('macs_ips'!$A$2:$A$403)-ROW(INDEX('macs_ips'!$A$2:$A$403,1,1))+1)/('macs_ips'!$E$2:$E$403=$J$1),ROW(A370))),"")</f>
        <v/>
      </c>
      <c r="B372" s="40">
        <f>IFERROR(INDEX('macs_ips'!$B$2:$B$403,AGGREGATE(15,6,(ROW('macs_ips'!$A$2:$A$403)-ROW(INDEX('macs_ips'!$A$2:$A$403,1,1))+1)/('macs_ips'!$E$2:$E$403=$J$1),ROW(A370))),"")</f>
        <v/>
      </c>
      <c r="C372" s="40">
        <f>IFERROR(INDEX('macs_ips'!$C$2:$C$403,AGGREGATE(15,6,(ROW('macs_ips'!$A$2:$A$403)-ROW(INDEX('macs_ips'!$A$2:$A$403,1,1))+1)/('macs_ips'!$E$2:$E$403=$J$1),ROW(A370))),"")</f>
        <v/>
      </c>
      <c r="D372" s="41">
        <f>IFERROR(INDEX('macs_ips'!$D$2:$D$403,AGGREGATE(15,6,(ROW('macs_ips'!$A$2:$A$403)-ROW(INDEX('macs_ips'!$A$2:$A$403,1,1))+1)/('macs_ips'!$E$2:$E$403=$J$1),ROW(A370))),"")</f>
        <v/>
      </c>
      <c r="E372" s="40">
        <f>IFERROR(INDEX('macs_ips'!$E$2:$E$403,AGGREGATE(15,6,(ROW('macs_ips'!$A$2:$A$403)-ROW(INDEX('macs_ips'!$A$2:$A$403,1,1))+1)/('macs_ips'!$E$2:$E$403=$J$1),ROW(A370))),"")</f>
        <v/>
      </c>
      <c r="F372" s="41">
        <f>IFERROR(INDEX('macs_ips'!$F$2:$F$403,AGGREGATE(15,6,(ROW('macs_ips'!$A$2:$A$403)-ROW(INDEX('macs_ips'!$A$2:$A$403,1,1))+1)/('macs_ips'!$E$2:$E$403=$J$1),ROW(A370))),"")</f>
        <v/>
      </c>
      <c r="G372" s="40">
        <f>IFERROR(INDEX('macs_ips'!$G$2:$G$403,AGGREGATE(15,6,(ROW('macs_ips'!$A$2:$A$403)-ROW(INDEX('macs_ips'!$A$2:$A$403,1,1))+1)/('macs_ips'!$E$2:$E$403=$J$1),ROW(A370))),"")</f>
        <v/>
      </c>
    </row>
    <row r="373">
      <c r="A373" s="40">
        <f>IFERROR(INDEX('macs_ips'!$A$2:$A$403,AGGREGATE(15,6,(ROW('macs_ips'!$A$2:$A$403)-ROW(INDEX('macs_ips'!$A$2:$A$403,1,1))+1)/('macs_ips'!$E$2:$E$403=$J$1),ROW(A371))),"")</f>
        <v/>
      </c>
      <c r="B373" s="40">
        <f>IFERROR(INDEX('macs_ips'!$B$2:$B$403,AGGREGATE(15,6,(ROW('macs_ips'!$A$2:$A$403)-ROW(INDEX('macs_ips'!$A$2:$A$403,1,1))+1)/('macs_ips'!$E$2:$E$403=$J$1),ROW(A371))),"")</f>
        <v/>
      </c>
      <c r="C373" s="40">
        <f>IFERROR(INDEX('macs_ips'!$C$2:$C$403,AGGREGATE(15,6,(ROW('macs_ips'!$A$2:$A$403)-ROW(INDEX('macs_ips'!$A$2:$A$403,1,1))+1)/('macs_ips'!$E$2:$E$403=$J$1),ROW(A371))),"")</f>
        <v/>
      </c>
      <c r="D373" s="41">
        <f>IFERROR(INDEX('macs_ips'!$D$2:$D$403,AGGREGATE(15,6,(ROW('macs_ips'!$A$2:$A$403)-ROW(INDEX('macs_ips'!$A$2:$A$403,1,1))+1)/('macs_ips'!$E$2:$E$403=$J$1),ROW(A371))),"")</f>
        <v/>
      </c>
      <c r="E373" s="40">
        <f>IFERROR(INDEX('macs_ips'!$E$2:$E$403,AGGREGATE(15,6,(ROW('macs_ips'!$A$2:$A$403)-ROW(INDEX('macs_ips'!$A$2:$A$403,1,1))+1)/('macs_ips'!$E$2:$E$403=$J$1),ROW(A371))),"")</f>
        <v/>
      </c>
      <c r="F373" s="41">
        <f>IFERROR(INDEX('macs_ips'!$F$2:$F$403,AGGREGATE(15,6,(ROW('macs_ips'!$A$2:$A$403)-ROW(INDEX('macs_ips'!$A$2:$A$403,1,1))+1)/('macs_ips'!$E$2:$E$403=$J$1),ROW(A371))),"")</f>
        <v/>
      </c>
      <c r="G373" s="40">
        <f>IFERROR(INDEX('macs_ips'!$G$2:$G$403,AGGREGATE(15,6,(ROW('macs_ips'!$A$2:$A$403)-ROW(INDEX('macs_ips'!$A$2:$A$403,1,1))+1)/('macs_ips'!$E$2:$E$403=$J$1),ROW(A371))),"")</f>
        <v/>
      </c>
    </row>
    <row r="374">
      <c r="A374" s="40">
        <f>IFERROR(INDEX('macs_ips'!$A$2:$A$403,AGGREGATE(15,6,(ROW('macs_ips'!$A$2:$A$403)-ROW(INDEX('macs_ips'!$A$2:$A$403,1,1))+1)/('macs_ips'!$E$2:$E$403=$J$1),ROW(A372))),"")</f>
        <v/>
      </c>
      <c r="B374" s="40">
        <f>IFERROR(INDEX('macs_ips'!$B$2:$B$403,AGGREGATE(15,6,(ROW('macs_ips'!$A$2:$A$403)-ROW(INDEX('macs_ips'!$A$2:$A$403,1,1))+1)/('macs_ips'!$E$2:$E$403=$J$1),ROW(A372))),"")</f>
        <v/>
      </c>
      <c r="C374" s="40">
        <f>IFERROR(INDEX('macs_ips'!$C$2:$C$403,AGGREGATE(15,6,(ROW('macs_ips'!$A$2:$A$403)-ROW(INDEX('macs_ips'!$A$2:$A$403,1,1))+1)/('macs_ips'!$E$2:$E$403=$J$1),ROW(A372))),"")</f>
        <v/>
      </c>
      <c r="D374" s="41">
        <f>IFERROR(INDEX('macs_ips'!$D$2:$D$403,AGGREGATE(15,6,(ROW('macs_ips'!$A$2:$A$403)-ROW(INDEX('macs_ips'!$A$2:$A$403,1,1))+1)/('macs_ips'!$E$2:$E$403=$J$1),ROW(A372))),"")</f>
        <v/>
      </c>
      <c r="E374" s="40">
        <f>IFERROR(INDEX('macs_ips'!$E$2:$E$403,AGGREGATE(15,6,(ROW('macs_ips'!$A$2:$A$403)-ROW(INDEX('macs_ips'!$A$2:$A$403,1,1))+1)/('macs_ips'!$E$2:$E$403=$J$1),ROW(A372))),"")</f>
        <v/>
      </c>
      <c r="F374" s="41">
        <f>IFERROR(INDEX('macs_ips'!$F$2:$F$403,AGGREGATE(15,6,(ROW('macs_ips'!$A$2:$A$403)-ROW(INDEX('macs_ips'!$A$2:$A$403,1,1))+1)/('macs_ips'!$E$2:$E$403=$J$1),ROW(A372))),"")</f>
        <v/>
      </c>
      <c r="G374" s="40">
        <f>IFERROR(INDEX('macs_ips'!$G$2:$G$403,AGGREGATE(15,6,(ROW('macs_ips'!$A$2:$A$403)-ROW(INDEX('macs_ips'!$A$2:$A$403,1,1))+1)/('macs_ips'!$E$2:$E$403=$J$1),ROW(A372))),"")</f>
        <v/>
      </c>
    </row>
    <row r="375">
      <c r="A375" s="40">
        <f>IFERROR(INDEX('macs_ips'!$A$2:$A$403,AGGREGATE(15,6,(ROW('macs_ips'!$A$2:$A$403)-ROW(INDEX('macs_ips'!$A$2:$A$403,1,1))+1)/('macs_ips'!$E$2:$E$403=$J$1),ROW(A373))),"")</f>
        <v/>
      </c>
      <c r="B375" s="40">
        <f>IFERROR(INDEX('macs_ips'!$B$2:$B$403,AGGREGATE(15,6,(ROW('macs_ips'!$A$2:$A$403)-ROW(INDEX('macs_ips'!$A$2:$A$403,1,1))+1)/('macs_ips'!$E$2:$E$403=$J$1),ROW(A373))),"")</f>
        <v/>
      </c>
      <c r="C375" s="40">
        <f>IFERROR(INDEX('macs_ips'!$C$2:$C$403,AGGREGATE(15,6,(ROW('macs_ips'!$A$2:$A$403)-ROW(INDEX('macs_ips'!$A$2:$A$403,1,1))+1)/('macs_ips'!$E$2:$E$403=$J$1),ROW(A373))),"")</f>
        <v/>
      </c>
      <c r="D375" s="41">
        <f>IFERROR(INDEX('macs_ips'!$D$2:$D$403,AGGREGATE(15,6,(ROW('macs_ips'!$A$2:$A$403)-ROW(INDEX('macs_ips'!$A$2:$A$403,1,1))+1)/('macs_ips'!$E$2:$E$403=$J$1),ROW(A373))),"")</f>
        <v/>
      </c>
      <c r="E375" s="40">
        <f>IFERROR(INDEX('macs_ips'!$E$2:$E$403,AGGREGATE(15,6,(ROW('macs_ips'!$A$2:$A$403)-ROW(INDEX('macs_ips'!$A$2:$A$403,1,1))+1)/('macs_ips'!$E$2:$E$403=$J$1),ROW(A373))),"")</f>
        <v/>
      </c>
      <c r="F375" s="41">
        <f>IFERROR(INDEX('macs_ips'!$F$2:$F$403,AGGREGATE(15,6,(ROW('macs_ips'!$A$2:$A$403)-ROW(INDEX('macs_ips'!$A$2:$A$403,1,1))+1)/('macs_ips'!$E$2:$E$403=$J$1),ROW(A373))),"")</f>
        <v/>
      </c>
      <c r="G375" s="40">
        <f>IFERROR(INDEX('macs_ips'!$G$2:$G$403,AGGREGATE(15,6,(ROW('macs_ips'!$A$2:$A$403)-ROW(INDEX('macs_ips'!$A$2:$A$403,1,1))+1)/('macs_ips'!$E$2:$E$403=$J$1),ROW(A373))),"")</f>
        <v/>
      </c>
    </row>
    <row r="376">
      <c r="A376" s="40">
        <f>IFERROR(INDEX('macs_ips'!$A$2:$A$403,AGGREGATE(15,6,(ROW('macs_ips'!$A$2:$A$403)-ROW(INDEX('macs_ips'!$A$2:$A$403,1,1))+1)/('macs_ips'!$E$2:$E$403=$J$1),ROW(A374))),"")</f>
        <v/>
      </c>
      <c r="B376" s="40">
        <f>IFERROR(INDEX('macs_ips'!$B$2:$B$403,AGGREGATE(15,6,(ROW('macs_ips'!$A$2:$A$403)-ROW(INDEX('macs_ips'!$A$2:$A$403,1,1))+1)/('macs_ips'!$E$2:$E$403=$J$1),ROW(A374))),"")</f>
        <v/>
      </c>
      <c r="C376" s="40">
        <f>IFERROR(INDEX('macs_ips'!$C$2:$C$403,AGGREGATE(15,6,(ROW('macs_ips'!$A$2:$A$403)-ROW(INDEX('macs_ips'!$A$2:$A$403,1,1))+1)/('macs_ips'!$E$2:$E$403=$J$1),ROW(A374))),"")</f>
        <v/>
      </c>
      <c r="D376" s="41">
        <f>IFERROR(INDEX('macs_ips'!$D$2:$D$403,AGGREGATE(15,6,(ROW('macs_ips'!$A$2:$A$403)-ROW(INDEX('macs_ips'!$A$2:$A$403,1,1))+1)/('macs_ips'!$E$2:$E$403=$J$1),ROW(A374))),"")</f>
        <v/>
      </c>
      <c r="E376" s="40">
        <f>IFERROR(INDEX('macs_ips'!$E$2:$E$403,AGGREGATE(15,6,(ROW('macs_ips'!$A$2:$A$403)-ROW(INDEX('macs_ips'!$A$2:$A$403,1,1))+1)/('macs_ips'!$E$2:$E$403=$J$1),ROW(A374))),"")</f>
        <v/>
      </c>
      <c r="F376" s="41">
        <f>IFERROR(INDEX('macs_ips'!$F$2:$F$403,AGGREGATE(15,6,(ROW('macs_ips'!$A$2:$A$403)-ROW(INDEX('macs_ips'!$A$2:$A$403,1,1))+1)/('macs_ips'!$E$2:$E$403=$J$1),ROW(A374))),"")</f>
        <v/>
      </c>
      <c r="G376" s="40">
        <f>IFERROR(INDEX('macs_ips'!$G$2:$G$403,AGGREGATE(15,6,(ROW('macs_ips'!$A$2:$A$403)-ROW(INDEX('macs_ips'!$A$2:$A$403,1,1))+1)/('macs_ips'!$E$2:$E$403=$J$1),ROW(A374))),"")</f>
        <v/>
      </c>
    </row>
    <row r="377">
      <c r="A377" s="40">
        <f>IFERROR(INDEX('macs_ips'!$A$2:$A$403,AGGREGATE(15,6,(ROW('macs_ips'!$A$2:$A$403)-ROW(INDEX('macs_ips'!$A$2:$A$403,1,1))+1)/('macs_ips'!$E$2:$E$403=$J$1),ROW(A375))),"")</f>
        <v/>
      </c>
      <c r="B377" s="40">
        <f>IFERROR(INDEX('macs_ips'!$B$2:$B$403,AGGREGATE(15,6,(ROW('macs_ips'!$A$2:$A$403)-ROW(INDEX('macs_ips'!$A$2:$A$403,1,1))+1)/('macs_ips'!$E$2:$E$403=$J$1),ROW(A375))),"")</f>
        <v/>
      </c>
      <c r="C377" s="40">
        <f>IFERROR(INDEX('macs_ips'!$C$2:$C$403,AGGREGATE(15,6,(ROW('macs_ips'!$A$2:$A$403)-ROW(INDEX('macs_ips'!$A$2:$A$403,1,1))+1)/('macs_ips'!$E$2:$E$403=$J$1),ROW(A375))),"")</f>
        <v/>
      </c>
      <c r="D377" s="41">
        <f>IFERROR(INDEX('macs_ips'!$D$2:$D$403,AGGREGATE(15,6,(ROW('macs_ips'!$A$2:$A$403)-ROW(INDEX('macs_ips'!$A$2:$A$403,1,1))+1)/('macs_ips'!$E$2:$E$403=$J$1),ROW(A375))),"")</f>
        <v/>
      </c>
      <c r="E377" s="40">
        <f>IFERROR(INDEX('macs_ips'!$E$2:$E$403,AGGREGATE(15,6,(ROW('macs_ips'!$A$2:$A$403)-ROW(INDEX('macs_ips'!$A$2:$A$403,1,1))+1)/('macs_ips'!$E$2:$E$403=$J$1),ROW(A375))),"")</f>
        <v/>
      </c>
      <c r="F377" s="41">
        <f>IFERROR(INDEX('macs_ips'!$F$2:$F$403,AGGREGATE(15,6,(ROW('macs_ips'!$A$2:$A$403)-ROW(INDEX('macs_ips'!$A$2:$A$403,1,1))+1)/('macs_ips'!$E$2:$E$403=$J$1),ROW(A375))),"")</f>
        <v/>
      </c>
      <c r="G377" s="40">
        <f>IFERROR(INDEX('macs_ips'!$G$2:$G$403,AGGREGATE(15,6,(ROW('macs_ips'!$A$2:$A$403)-ROW(INDEX('macs_ips'!$A$2:$A$403,1,1))+1)/('macs_ips'!$E$2:$E$403=$J$1),ROW(A375))),"")</f>
        <v/>
      </c>
    </row>
    <row r="378">
      <c r="A378" s="40">
        <f>IFERROR(INDEX('macs_ips'!$A$2:$A$403,AGGREGATE(15,6,(ROW('macs_ips'!$A$2:$A$403)-ROW(INDEX('macs_ips'!$A$2:$A$403,1,1))+1)/('macs_ips'!$E$2:$E$403=$J$1),ROW(A376))),"")</f>
        <v/>
      </c>
      <c r="B378" s="40">
        <f>IFERROR(INDEX('macs_ips'!$B$2:$B$403,AGGREGATE(15,6,(ROW('macs_ips'!$A$2:$A$403)-ROW(INDEX('macs_ips'!$A$2:$A$403,1,1))+1)/('macs_ips'!$E$2:$E$403=$J$1),ROW(A376))),"")</f>
        <v/>
      </c>
      <c r="C378" s="40">
        <f>IFERROR(INDEX('macs_ips'!$C$2:$C$403,AGGREGATE(15,6,(ROW('macs_ips'!$A$2:$A$403)-ROW(INDEX('macs_ips'!$A$2:$A$403,1,1))+1)/('macs_ips'!$E$2:$E$403=$J$1),ROW(A376))),"")</f>
        <v/>
      </c>
      <c r="D378" s="41">
        <f>IFERROR(INDEX('macs_ips'!$D$2:$D$403,AGGREGATE(15,6,(ROW('macs_ips'!$A$2:$A$403)-ROW(INDEX('macs_ips'!$A$2:$A$403,1,1))+1)/('macs_ips'!$E$2:$E$403=$J$1),ROW(A376))),"")</f>
        <v/>
      </c>
      <c r="E378" s="40">
        <f>IFERROR(INDEX('macs_ips'!$E$2:$E$403,AGGREGATE(15,6,(ROW('macs_ips'!$A$2:$A$403)-ROW(INDEX('macs_ips'!$A$2:$A$403,1,1))+1)/('macs_ips'!$E$2:$E$403=$J$1),ROW(A376))),"")</f>
        <v/>
      </c>
      <c r="F378" s="41">
        <f>IFERROR(INDEX('macs_ips'!$F$2:$F$403,AGGREGATE(15,6,(ROW('macs_ips'!$A$2:$A$403)-ROW(INDEX('macs_ips'!$A$2:$A$403,1,1))+1)/('macs_ips'!$E$2:$E$403=$J$1),ROW(A376))),"")</f>
        <v/>
      </c>
      <c r="G378" s="40">
        <f>IFERROR(INDEX('macs_ips'!$G$2:$G$403,AGGREGATE(15,6,(ROW('macs_ips'!$A$2:$A$403)-ROW(INDEX('macs_ips'!$A$2:$A$403,1,1))+1)/('macs_ips'!$E$2:$E$403=$J$1),ROW(A376))),"")</f>
        <v/>
      </c>
    </row>
    <row r="379">
      <c r="A379" s="40">
        <f>IFERROR(INDEX('macs_ips'!$A$2:$A$403,AGGREGATE(15,6,(ROW('macs_ips'!$A$2:$A$403)-ROW(INDEX('macs_ips'!$A$2:$A$403,1,1))+1)/('macs_ips'!$E$2:$E$403=$J$1),ROW(A377))),"")</f>
        <v/>
      </c>
      <c r="B379" s="40">
        <f>IFERROR(INDEX('macs_ips'!$B$2:$B$403,AGGREGATE(15,6,(ROW('macs_ips'!$A$2:$A$403)-ROW(INDEX('macs_ips'!$A$2:$A$403,1,1))+1)/('macs_ips'!$E$2:$E$403=$J$1),ROW(A377))),"")</f>
        <v/>
      </c>
      <c r="C379" s="40">
        <f>IFERROR(INDEX('macs_ips'!$C$2:$C$403,AGGREGATE(15,6,(ROW('macs_ips'!$A$2:$A$403)-ROW(INDEX('macs_ips'!$A$2:$A$403,1,1))+1)/('macs_ips'!$E$2:$E$403=$J$1),ROW(A377))),"")</f>
        <v/>
      </c>
      <c r="D379" s="41">
        <f>IFERROR(INDEX('macs_ips'!$D$2:$D$403,AGGREGATE(15,6,(ROW('macs_ips'!$A$2:$A$403)-ROW(INDEX('macs_ips'!$A$2:$A$403,1,1))+1)/('macs_ips'!$E$2:$E$403=$J$1),ROW(A377))),"")</f>
        <v/>
      </c>
      <c r="E379" s="40">
        <f>IFERROR(INDEX('macs_ips'!$E$2:$E$403,AGGREGATE(15,6,(ROW('macs_ips'!$A$2:$A$403)-ROW(INDEX('macs_ips'!$A$2:$A$403,1,1))+1)/('macs_ips'!$E$2:$E$403=$J$1),ROW(A377))),"")</f>
        <v/>
      </c>
      <c r="F379" s="41">
        <f>IFERROR(INDEX('macs_ips'!$F$2:$F$403,AGGREGATE(15,6,(ROW('macs_ips'!$A$2:$A$403)-ROW(INDEX('macs_ips'!$A$2:$A$403,1,1))+1)/('macs_ips'!$E$2:$E$403=$J$1),ROW(A377))),"")</f>
        <v/>
      </c>
      <c r="G379" s="40">
        <f>IFERROR(INDEX('macs_ips'!$G$2:$G$403,AGGREGATE(15,6,(ROW('macs_ips'!$A$2:$A$403)-ROW(INDEX('macs_ips'!$A$2:$A$403,1,1))+1)/('macs_ips'!$E$2:$E$403=$J$1),ROW(A377))),"")</f>
        <v/>
      </c>
    </row>
    <row r="380">
      <c r="A380" s="40">
        <f>IFERROR(INDEX('macs_ips'!$A$2:$A$403,AGGREGATE(15,6,(ROW('macs_ips'!$A$2:$A$403)-ROW(INDEX('macs_ips'!$A$2:$A$403,1,1))+1)/('macs_ips'!$E$2:$E$403=$J$1),ROW(A378))),"")</f>
        <v/>
      </c>
      <c r="B380" s="40">
        <f>IFERROR(INDEX('macs_ips'!$B$2:$B$403,AGGREGATE(15,6,(ROW('macs_ips'!$A$2:$A$403)-ROW(INDEX('macs_ips'!$A$2:$A$403,1,1))+1)/('macs_ips'!$E$2:$E$403=$J$1),ROW(A378))),"")</f>
        <v/>
      </c>
      <c r="C380" s="40">
        <f>IFERROR(INDEX('macs_ips'!$C$2:$C$403,AGGREGATE(15,6,(ROW('macs_ips'!$A$2:$A$403)-ROW(INDEX('macs_ips'!$A$2:$A$403,1,1))+1)/('macs_ips'!$E$2:$E$403=$J$1),ROW(A378))),"")</f>
        <v/>
      </c>
      <c r="D380" s="41">
        <f>IFERROR(INDEX('macs_ips'!$D$2:$D$403,AGGREGATE(15,6,(ROW('macs_ips'!$A$2:$A$403)-ROW(INDEX('macs_ips'!$A$2:$A$403,1,1))+1)/('macs_ips'!$E$2:$E$403=$J$1),ROW(A378))),"")</f>
        <v/>
      </c>
      <c r="E380" s="40">
        <f>IFERROR(INDEX('macs_ips'!$E$2:$E$403,AGGREGATE(15,6,(ROW('macs_ips'!$A$2:$A$403)-ROW(INDEX('macs_ips'!$A$2:$A$403,1,1))+1)/('macs_ips'!$E$2:$E$403=$J$1),ROW(A378))),"")</f>
        <v/>
      </c>
      <c r="F380" s="41">
        <f>IFERROR(INDEX('macs_ips'!$F$2:$F$403,AGGREGATE(15,6,(ROW('macs_ips'!$A$2:$A$403)-ROW(INDEX('macs_ips'!$A$2:$A$403,1,1))+1)/('macs_ips'!$E$2:$E$403=$J$1),ROW(A378))),"")</f>
        <v/>
      </c>
      <c r="G380" s="40">
        <f>IFERROR(INDEX('macs_ips'!$G$2:$G$403,AGGREGATE(15,6,(ROW('macs_ips'!$A$2:$A$403)-ROW(INDEX('macs_ips'!$A$2:$A$403,1,1))+1)/('macs_ips'!$E$2:$E$403=$J$1),ROW(A378))),"")</f>
        <v/>
      </c>
    </row>
    <row r="381">
      <c r="A381" s="40">
        <f>IFERROR(INDEX('macs_ips'!$A$2:$A$403,AGGREGATE(15,6,(ROW('macs_ips'!$A$2:$A$403)-ROW(INDEX('macs_ips'!$A$2:$A$403,1,1))+1)/('macs_ips'!$E$2:$E$403=$J$1),ROW(A379))),"")</f>
        <v/>
      </c>
      <c r="B381" s="40">
        <f>IFERROR(INDEX('macs_ips'!$B$2:$B$403,AGGREGATE(15,6,(ROW('macs_ips'!$A$2:$A$403)-ROW(INDEX('macs_ips'!$A$2:$A$403,1,1))+1)/('macs_ips'!$E$2:$E$403=$J$1),ROW(A379))),"")</f>
        <v/>
      </c>
      <c r="C381" s="40">
        <f>IFERROR(INDEX('macs_ips'!$C$2:$C$403,AGGREGATE(15,6,(ROW('macs_ips'!$A$2:$A$403)-ROW(INDEX('macs_ips'!$A$2:$A$403,1,1))+1)/('macs_ips'!$E$2:$E$403=$J$1),ROW(A379))),"")</f>
        <v/>
      </c>
      <c r="D381" s="41">
        <f>IFERROR(INDEX('macs_ips'!$D$2:$D$403,AGGREGATE(15,6,(ROW('macs_ips'!$A$2:$A$403)-ROW(INDEX('macs_ips'!$A$2:$A$403,1,1))+1)/('macs_ips'!$E$2:$E$403=$J$1),ROW(A379))),"")</f>
        <v/>
      </c>
      <c r="E381" s="40">
        <f>IFERROR(INDEX('macs_ips'!$E$2:$E$403,AGGREGATE(15,6,(ROW('macs_ips'!$A$2:$A$403)-ROW(INDEX('macs_ips'!$A$2:$A$403,1,1))+1)/('macs_ips'!$E$2:$E$403=$J$1),ROW(A379))),"")</f>
        <v/>
      </c>
      <c r="F381" s="41">
        <f>IFERROR(INDEX('macs_ips'!$F$2:$F$403,AGGREGATE(15,6,(ROW('macs_ips'!$A$2:$A$403)-ROW(INDEX('macs_ips'!$A$2:$A$403,1,1))+1)/('macs_ips'!$E$2:$E$403=$J$1),ROW(A379))),"")</f>
        <v/>
      </c>
      <c r="G381" s="40">
        <f>IFERROR(INDEX('macs_ips'!$G$2:$G$403,AGGREGATE(15,6,(ROW('macs_ips'!$A$2:$A$403)-ROW(INDEX('macs_ips'!$A$2:$A$403,1,1))+1)/('macs_ips'!$E$2:$E$403=$J$1),ROW(A379))),"")</f>
        <v/>
      </c>
    </row>
    <row r="382">
      <c r="A382" s="40">
        <f>IFERROR(INDEX('macs_ips'!$A$2:$A$403,AGGREGATE(15,6,(ROW('macs_ips'!$A$2:$A$403)-ROW(INDEX('macs_ips'!$A$2:$A$403,1,1))+1)/('macs_ips'!$E$2:$E$403=$J$1),ROW(A380))),"")</f>
        <v/>
      </c>
      <c r="B382" s="40">
        <f>IFERROR(INDEX('macs_ips'!$B$2:$B$403,AGGREGATE(15,6,(ROW('macs_ips'!$A$2:$A$403)-ROW(INDEX('macs_ips'!$A$2:$A$403,1,1))+1)/('macs_ips'!$E$2:$E$403=$J$1),ROW(A380))),"")</f>
        <v/>
      </c>
      <c r="C382" s="40">
        <f>IFERROR(INDEX('macs_ips'!$C$2:$C$403,AGGREGATE(15,6,(ROW('macs_ips'!$A$2:$A$403)-ROW(INDEX('macs_ips'!$A$2:$A$403,1,1))+1)/('macs_ips'!$E$2:$E$403=$J$1),ROW(A380))),"")</f>
        <v/>
      </c>
      <c r="D382" s="41">
        <f>IFERROR(INDEX('macs_ips'!$D$2:$D$403,AGGREGATE(15,6,(ROW('macs_ips'!$A$2:$A$403)-ROW(INDEX('macs_ips'!$A$2:$A$403,1,1))+1)/('macs_ips'!$E$2:$E$403=$J$1),ROW(A380))),"")</f>
        <v/>
      </c>
      <c r="E382" s="40">
        <f>IFERROR(INDEX('macs_ips'!$E$2:$E$403,AGGREGATE(15,6,(ROW('macs_ips'!$A$2:$A$403)-ROW(INDEX('macs_ips'!$A$2:$A$403,1,1))+1)/('macs_ips'!$E$2:$E$403=$J$1),ROW(A380))),"")</f>
        <v/>
      </c>
      <c r="F382" s="41">
        <f>IFERROR(INDEX('macs_ips'!$F$2:$F$403,AGGREGATE(15,6,(ROW('macs_ips'!$A$2:$A$403)-ROW(INDEX('macs_ips'!$A$2:$A$403,1,1))+1)/('macs_ips'!$E$2:$E$403=$J$1),ROW(A380))),"")</f>
        <v/>
      </c>
      <c r="G382" s="40">
        <f>IFERROR(INDEX('macs_ips'!$G$2:$G$403,AGGREGATE(15,6,(ROW('macs_ips'!$A$2:$A$403)-ROW(INDEX('macs_ips'!$A$2:$A$403,1,1))+1)/('macs_ips'!$E$2:$E$403=$J$1),ROW(A380))),"")</f>
        <v/>
      </c>
    </row>
    <row r="383">
      <c r="A383" s="40">
        <f>IFERROR(INDEX('macs_ips'!$A$2:$A$403,AGGREGATE(15,6,(ROW('macs_ips'!$A$2:$A$403)-ROW(INDEX('macs_ips'!$A$2:$A$403,1,1))+1)/('macs_ips'!$E$2:$E$403=$J$1),ROW(A381))),"")</f>
        <v/>
      </c>
      <c r="B383" s="40">
        <f>IFERROR(INDEX('macs_ips'!$B$2:$B$403,AGGREGATE(15,6,(ROW('macs_ips'!$A$2:$A$403)-ROW(INDEX('macs_ips'!$A$2:$A$403,1,1))+1)/('macs_ips'!$E$2:$E$403=$J$1),ROW(A381))),"")</f>
        <v/>
      </c>
      <c r="C383" s="40">
        <f>IFERROR(INDEX('macs_ips'!$C$2:$C$403,AGGREGATE(15,6,(ROW('macs_ips'!$A$2:$A$403)-ROW(INDEX('macs_ips'!$A$2:$A$403,1,1))+1)/('macs_ips'!$E$2:$E$403=$J$1),ROW(A381))),"")</f>
        <v/>
      </c>
      <c r="D383" s="41">
        <f>IFERROR(INDEX('macs_ips'!$D$2:$D$403,AGGREGATE(15,6,(ROW('macs_ips'!$A$2:$A$403)-ROW(INDEX('macs_ips'!$A$2:$A$403,1,1))+1)/('macs_ips'!$E$2:$E$403=$J$1),ROW(A381))),"")</f>
        <v/>
      </c>
      <c r="E383" s="40">
        <f>IFERROR(INDEX('macs_ips'!$E$2:$E$403,AGGREGATE(15,6,(ROW('macs_ips'!$A$2:$A$403)-ROW(INDEX('macs_ips'!$A$2:$A$403,1,1))+1)/('macs_ips'!$E$2:$E$403=$J$1),ROW(A381))),"")</f>
        <v/>
      </c>
      <c r="F383" s="41">
        <f>IFERROR(INDEX('macs_ips'!$F$2:$F$403,AGGREGATE(15,6,(ROW('macs_ips'!$A$2:$A$403)-ROW(INDEX('macs_ips'!$A$2:$A$403,1,1))+1)/('macs_ips'!$E$2:$E$403=$J$1),ROW(A381))),"")</f>
        <v/>
      </c>
      <c r="G383" s="40">
        <f>IFERROR(INDEX('macs_ips'!$G$2:$G$403,AGGREGATE(15,6,(ROW('macs_ips'!$A$2:$A$403)-ROW(INDEX('macs_ips'!$A$2:$A$403,1,1))+1)/('macs_ips'!$E$2:$E$403=$J$1),ROW(A381))),"")</f>
        <v/>
      </c>
    </row>
    <row r="384">
      <c r="A384" s="40">
        <f>IFERROR(INDEX('macs_ips'!$A$2:$A$403,AGGREGATE(15,6,(ROW('macs_ips'!$A$2:$A$403)-ROW(INDEX('macs_ips'!$A$2:$A$403,1,1))+1)/('macs_ips'!$E$2:$E$403=$J$1),ROW(A382))),"")</f>
        <v/>
      </c>
      <c r="B384" s="40">
        <f>IFERROR(INDEX('macs_ips'!$B$2:$B$403,AGGREGATE(15,6,(ROW('macs_ips'!$A$2:$A$403)-ROW(INDEX('macs_ips'!$A$2:$A$403,1,1))+1)/('macs_ips'!$E$2:$E$403=$J$1),ROW(A382))),"")</f>
        <v/>
      </c>
      <c r="C384" s="40">
        <f>IFERROR(INDEX('macs_ips'!$C$2:$C$403,AGGREGATE(15,6,(ROW('macs_ips'!$A$2:$A$403)-ROW(INDEX('macs_ips'!$A$2:$A$403,1,1))+1)/('macs_ips'!$E$2:$E$403=$J$1),ROW(A382))),"")</f>
        <v/>
      </c>
      <c r="D384" s="41">
        <f>IFERROR(INDEX('macs_ips'!$D$2:$D$403,AGGREGATE(15,6,(ROW('macs_ips'!$A$2:$A$403)-ROW(INDEX('macs_ips'!$A$2:$A$403,1,1))+1)/('macs_ips'!$E$2:$E$403=$J$1),ROW(A382))),"")</f>
        <v/>
      </c>
      <c r="E384" s="40">
        <f>IFERROR(INDEX('macs_ips'!$E$2:$E$403,AGGREGATE(15,6,(ROW('macs_ips'!$A$2:$A$403)-ROW(INDEX('macs_ips'!$A$2:$A$403,1,1))+1)/('macs_ips'!$E$2:$E$403=$J$1),ROW(A382))),"")</f>
        <v/>
      </c>
      <c r="F384" s="41">
        <f>IFERROR(INDEX('macs_ips'!$F$2:$F$403,AGGREGATE(15,6,(ROW('macs_ips'!$A$2:$A$403)-ROW(INDEX('macs_ips'!$A$2:$A$403,1,1))+1)/('macs_ips'!$E$2:$E$403=$J$1),ROW(A382))),"")</f>
        <v/>
      </c>
      <c r="G384" s="40">
        <f>IFERROR(INDEX('macs_ips'!$G$2:$G$403,AGGREGATE(15,6,(ROW('macs_ips'!$A$2:$A$403)-ROW(INDEX('macs_ips'!$A$2:$A$403,1,1))+1)/('macs_ips'!$E$2:$E$403=$J$1),ROW(A382))),"")</f>
        <v/>
      </c>
    </row>
    <row r="385">
      <c r="A385" s="40">
        <f>IFERROR(INDEX('macs_ips'!$A$2:$A$403,AGGREGATE(15,6,(ROW('macs_ips'!$A$2:$A$403)-ROW(INDEX('macs_ips'!$A$2:$A$403,1,1))+1)/('macs_ips'!$E$2:$E$403=$J$1),ROW(A383))),"")</f>
        <v/>
      </c>
      <c r="B385" s="40">
        <f>IFERROR(INDEX('macs_ips'!$B$2:$B$403,AGGREGATE(15,6,(ROW('macs_ips'!$A$2:$A$403)-ROW(INDEX('macs_ips'!$A$2:$A$403,1,1))+1)/('macs_ips'!$E$2:$E$403=$J$1),ROW(A383))),"")</f>
        <v/>
      </c>
      <c r="C385" s="40">
        <f>IFERROR(INDEX('macs_ips'!$C$2:$C$403,AGGREGATE(15,6,(ROW('macs_ips'!$A$2:$A$403)-ROW(INDEX('macs_ips'!$A$2:$A$403,1,1))+1)/('macs_ips'!$E$2:$E$403=$J$1),ROW(A383))),"")</f>
        <v/>
      </c>
      <c r="D385" s="41">
        <f>IFERROR(INDEX('macs_ips'!$D$2:$D$403,AGGREGATE(15,6,(ROW('macs_ips'!$A$2:$A$403)-ROW(INDEX('macs_ips'!$A$2:$A$403,1,1))+1)/('macs_ips'!$E$2:$E$403=$J$1),ROW(A383))),"")</f>
        <v/>
      </c>
      <c r="E385" s="40">
        <f>IFERROR(INDEX('macs_ips'!$E$2:$E$403,AGGREGATE(15,6,(ROW('macs_ips'!$A$2:$A$403)-ROW(INDEX('macs_ips'!$A$2:$A$403,1,1))+1)/('macs_ips'!$E$2:$E$403=$J$1),ROW(A383))),"")</f>
        <v/>
      </c>
      <c r="F385" s="41">
        <f>IFERROR(INDEX('macs_ips'!$F$2:$F$403,AGGREGATE(15,6,(ROW('macs_ips'!$A$2:$A$403)-ROW(INDEX('macs_ips'!$A$2:$A$403,1,1))+1)/('macs_ips'!$E$2:$E$403=$J$1),ROW(A383))),"")</f>
        <v/>
      </c>
      <c r="G385" s="40">
        <f>IFERROR(INDEX('macs_ips'!$G$2:$G$403,AGGREGATE(15,6,(ROW('macs_ips'!$A$2:$A$403)-ROW(INDEX('macs_ips'!$A$2:$A$403,1,1))+1)/('macs_ips'!$E$2:$E$403=$J$1),ROW(A383))),"")</f>
        <v/>
      </c>
    </row>
    <row r="386">
      <c r="A386" s="40">
        <f>IFERROR(INDEX('macs_ips'!$A$2:$A$403,AGGREGATE(15,6,(ROW('macs_ips'!$A$2:$A$403)-ROW(INDEX('macs_ips'!$A$2:$A$403,1,1))+1)/('macs_ips'!$E$2:$E$403=$J$1),ROW(A384))),"")</f>
        <v/>
      </c>
      <c r="B386" s="40">
        <f>IFERROR(INDEX('macs_ips'!$B$2:$B$403,AGGREGATE(15,6,(ROW('macs_ips'!$A$2:$A$403)-ROW(INDEX('macs_ips'!$A$2:$A$403,1,1))+1)/('macs_ips'!$E$2:$E$403=$J$1),ROW(A384))),"")</f>
        <v/>
      </c>
      <c r="C386" s="40">
        <f>IFERROR(INDEX('macs_ips'!$C$2:$C$403,AGGREGATE(15,6,(ROW('macs_ips'!$A$2:$A$403)-ROW(INDEX('macs_ips'!$A$2:$A$403,1,1))+1)/('macs_ips'!$E$2:$E$403=$J$1),ROW(A384))),"")</f>
        <v/>
      </c>
      <c r="D386" s="41">
        <f>IFERROR(INDEX('macs_ips'!$D$2:$D$403,AGGREGATE(15,6,(ROW('macs_ips'!$A$2:$A$403)-ROW(INDEX('macs_ips'!$A$2:$A$403,1,1))+1)/('macs_ips'!$E$2:$E$403=$J$1),ROW(A384))),"")</f>
        <v/>
      </c>
      <c r="E386" s="40">
        <f>IFERROR(INDEX('macs_ips'!$E$2:$E$403,AGGREGATE(15,6,(ROW('macs_ips'!$A$2:$A$403)-ROW(INDEX('macs_ips'!$A$2:$A$403,1,1))+1)/('macs_ips'!$E$2:$E$403=$J$1),ROW(A384))),"")</f>
        <v/>
      </c>
      <c r="F386" s="41">
        <f>IFERROR(INDEX('macs_ips'!$F$2:$F$403,AGGREGATE(15,6,(ROW('macs_ips'!$A$2:$A$403)-ROW(INDEX('macs_ips'!$A$2:$A$403,1,1))+1)/('macs_ips'!$E$2:$E$403=$J$1),ROW(A384))),"")</f>
        <v/>
      </c>
      <c r="G386" s="40">
        <f>IFERROR(INDEX('macs_ips'!$G$2:$G$403,AGGREGATE(15,6,(ROW('macs_ips'!$A$2:$A$403)-ROW(INDEX('macs_ips'!$A$2:$A$403,1,1))+1)/('macs_ips'!$E$2:$E$403=$J$1),ROW(A384))),"")</f>
        <v/>
      </c>
    </row>
    <row r="387">
      <c r="A387" s="40">
        <f>IFERROR(INDEX('macs_ips'!$A$2:$A$403,AGGREGATE(15,6,(ROW('macs_ips'!$A$2:$A$403)-ROW(INDEX('macs_ips'!$A$2:$A$403,1,1))+1)/('macs_ips'!$E$2:$E$403=$J$1),ROW(A385))),"")</f>
        <v/>
      </c>
      <c r="B387" s="40">
        <f>IFERROR(INDEX('macs_ips'!$B$2:$B$403,AGGREGATE(15,6,(ROW('macs_ips'!$A$2:$A$403)-ROW(INDEX('macs_ips'!$A$2:$A$403,1,1))+1)/('macs_ips'!$E$2:$E$403=$J$1),ROW(A385))),"")</f>
        <v/>
      </c>
      <c r="C387" s="40">
        <f>IFERROR(INDEX('macs_ips'!$C$2:$C$403,AGGREGATE(15,6,(ROW('macs_ips'!$A$2:$A$403)-ROW(INDEX('macs_ips'!$A$2:$A$403,1,1))+1)/('macs_ips'!$E$2:$E$403=$J$1),ROW(A385))),"")</f>
        <v/>
      </c>
      <c r="D387" s="41">
        <f>IFERROR(INDEX('macs_ips'!$D$2:$D$403,AGGREGATE(15,6,(ROW('macs_ips'!$A$2:$A$403)-ROW(INDEX('macs_ips'!$A$2:$A$403,1,1))+1)/('macs_ips'!$E$2:$E$403=$J$1),ROW(A385))),"")</f>
        <v/>
      </c>
      <c r="E387" s="40">
        <f>IFERROR(INDEX('macs_ips'!$E$2:$E$403,AGGREGATE(15,6,(ROW('macs_ips'!$A$2:$A$403)-ROW(INDEX('macs_ips'!$A$2:$A$403,1,1))+1)/('macs_ips'!$E$2:$E$403=$J$1),ROW(A385))),"")</f>
        <v/>
      </c>
      <c r="F387" s="41">
        <f>IFERROR(INDEX('macs_ips'!$F$2:$F$403,AGGREGATE(15,6,(ROW('macs_ips'!$A$2:$A$403)-ROW(INDEX('macs_ips'!$A$2:$A$403,1,1))+1)/('macs_ips'!$E$2:$E$403=$J$1),ROW(A385))),"")</f>
        <v/>
      </c>
      <c r="G387" s="40">
        <f>IFERROR(INDEX('macs_ips'!$G$2:$G$403,AGGREGATE(15,6,(ROW('macs_ips'!$A$2:$A$403)-ROW(INDEX('macs_ips'!$A$2:$A$403,1,1))+1)/('macs_ips'!$E$2:$E$403=$J$1),ROW(A385))),"")</f>
        <v/>
      </c>
    </row>
    <row r="388">
      <c r="A388" s="40">
        <f>IFERROR(INDEX('macs_ips'!$A$2:$A$403,AGGREGATE(15,6,(ROW('macs_ips'!$A$2:$A$403)-ROW(INDEX('macs_ips'!$A$2:$A$403,1,1))+1)/('macs_ips'!$E$2:$E$403=$J$1),ROW(A386))),"")</f>
        <v/>
      </c>
      <c r="B388" s="40">
        <f>IFERROR(INDEX('macs_ips'!$B$2:$B$403,AGGREGATE(15,6,(ROW('macs_ips'!$A$2:$A$403)-ROW(INDEX('macs_ips'!$A$2:$A$403,1,1))+1)/('macs_ips'!$E$2:$E$403=$J$1),ROW(A386))),"")</f>
        <v/>
      </c>
      <c r="C388" s="40">
        <f>IFERROR(INDEX('macs_ips'!$C$2:$C$403,AGGREGATE(15,6,(ROW('macs_ips'!$A$2:$A$403)-ROW(INDEX('macs_ips'!$A$2:$A$403,1,1))+1)/('macs_ips'!$E$2:$E$403=$J$1),ROW(A386))),"")</f>
        <v/>
      </c>
      <c r="D388" s="41">
        <f>IFERROR(INDEX('macs_ips'!$D$2:$D$403,AGGREGATE(15,6,(ROW('macs_ips'!$A$2:$A$403)-ROW(INDEX('macs_ips'!$A$2:$A$403,1,1))+1)/('macs_ips'!$E$2:$E$403=$J$1),ROW(A386))),"")</f>
        <v/>
      </c>
      <c r="E388" s="40">
        <f>IFERROR(INDEX('macs_ips'!$E$2:$E$403,AGGREGATE(15,6,(ROW('macs_ips'!$A$2:$A$403)-ROW(INDEX('macs_ips'!$A$2:$A$403,1,1))+1)/('macs_ips'!$E$2:$E$403=$J$1),ROW(A386))),"")</f>
        <v/>
      </c>
      <c r="F388" s="41">
        <f>IFERROR(INDEX('macs_ips'!$F$2:$F$403,AGGREGATE(15,6,(ROW('macs_ips'!$A$2:$A$403)-ROW(INDEX('macs_ips'!$A$2:$A$403,1,1))+1)/('macs_ips'!$E$2:$E$403=$J$1),ROW(A386))),"")</f>
        <v/>
      </c>
      <c r="G388" s="40">
        <f>IFERROR(INDEX('macs_ips'!$G$2:$G$403,AGGREGATE(15,6,(ROW('macs_ips'!$A$2:$A$403)-ROW(INDEX('macs_ips'!$A$2:$A$403,1,1))+1)/('macs_ips'!$E$2:$E$403=$J$1),ROW(A386))),"")</f>
        <v/>
      </c>
    </row>
    <row r="389">
      <c r="A389" s="40">
        <f>IFERROR(INDEX('macs_ips'!$A$2:$A$403,AGGREGATE(15,6,(ROW('macs_ips'!$A$2:$A$403)-ROW(INDEX('macs_ips'!$A$2:$A$403,1,1))+1)/('macs_ips'!$E$2:$E$403=$J$1),ROW(A387))),"")</f>
        <v/>
      </c>
      <c r="B389" s="40">
        <f>IFERROR(INDEX('macs_ips'!$B$2:$B$403,AGGREGATE(15,6,(ROW('macs_ips'!$A$2:$A$403)-ROW(INDEX('macs_ips'!$A$2:$A$403,1,1))+1)/('macs_ips'!$E$2:$E$403=$J$1),ROW(A387))),"")</f>
        <v/>
      </c>
      <c r="C389" s="40">
        <f>IFERROR(INDEX('macs_ips'!$C$2:$C$403,AGGREGATE(15,6,(ROW('macs_ips'!$A$2:$A$403)-ROW(INDEX('macs_ips'!$A$2:$A$403,1,1))+1)/('macs_ips'!$E$2:$E$403=$J$1),ROW(A387))),"")</f>
        <v/>
      </c>
      <c r="D389" s="41">
        <f>IFERROR(INDEX('macs_ips'!$D$2:$D$403,AGGREGATE(15,6,(ROW('macs_ips'!$A$2:$A$403)-ROW(INDEX('macs_ips'!$A$2:$A$403,1,1))+1)/('macs_ips'!$E$2:$E$403=$J$1),ROW(A387))),"")</f>
        <v/>
      </c>
      <c r="E389" s="40">
        <f>IFERROR(INDEX('macs_ips'!$E$2:$E$403,AGGREGATE(15,6,(ROW('macs_ips'!$A$2:$A$403)-ROW(INDEX('macs_ips'!$A$2:$A$403,1,1))+1)/('macs_ips'!$E$2:$E$403=$J$1),ROW(A387))),"")</f>
        <v/>
      </c>
      <c r="F389" s="41">
        <f>IFERROR(INDEX('macs_ips'!$F$2:$F$403,AGGREGATE(15,6,(ROW('macs_ips'!$A$2:$A$403)-ROW(INDEX('macs_ips'!$A$2:$A$403,1,1))+1)/('macs_ips'!$E$2:$E$403=$J$1),ROW(A387))),"")</f>
        <v/>
      </c>
      <c r="G389" s="40">
        <f>IFERROR(INDEX('macs_ips'!$G$2:$G$403,AGGREGATE(15,6,(ROW('macs_ips'!$A$2:$A$403)-ROW(INDEX('macs_ips'!$A$2:$A$403,1,1))+1)/('macs_ips'!$E$2:$E$403=$J$1),ROW(A387))),"")</f>
        <v/>
      </c>
    </row>
    <row r="390">
      <c r="A390" s="40">
        <f>IFERROR(INDEX('macs_ips'!$A$2:$A$403,AGGREGATE(15,6,(ROW('macs_ips'!$A$2:$A$403)-ROW(INDEX('macs_ips'!$A$2:$A$403,1,1))+1)/('macs_ips'!$E$2:$E$403=$J$1),ROW(A388))),"")</f>
        <v/>
      </c>
      <c r="B390" s="40">
        <f>IFERROR(INDEX('macs_ips'!$B$2:$B$403,AGGREGATE(15,6,(ROW('macs_ips'!$A$2:$A$403)-ROW(INDEX('macs_ips'!$A$2:$A$403,1,1))+1)/('macs_ips'!$E$2:$E$403=$J$1),ROW(A388))),"")</f>
        <v/>
      </c>
      <c r="C390" s="40">
        <f>IFERROR(INDEX('macs_ips'!$C$2:$C$403,AGGREGATE(15,6,(ROW('macs_ips'!$A$2:$A$403)-ROW(INDEX('macs_ips'!$A$2:$A$403,1,1))+1)/('macs_ips'!$E$2:$E$403=$J$1),ROW(A388))),"")</f>
        <v/>
      </c>
      <c r="D390" s="41">
        <f>IFERROR(INDEX('macs_ips'!$D$2:$D$403,AGGREGATE(15,6,(ROW('macs_ips'!$A$2:$A$403)-ROW(INDEX('macs_ips'!$A$2:$A$403,1,1))+1)/('macs_ips'!$E$2:$E$403=$J$1),ROW(A388))),"")</f>
        <v/>
      </c>
      <c r="E390" s="40">
        <f>IFERROR(INDEX('macs_ips'!$E$2:$E$403,AGGREGATE(15,6,(ROW('macs_ips'!$A$2:$A$403)-ROW(INDEX('macs_ips'!$A$2:$A$403,1,1))+1)/('macs_ips'!$E$2:$E$403=$J$1),ROW(A388))),"")</f>
        <v/>
      </c>
      <c r="F390" s="41">
        <f>IFERROR(INDEX('macs_ips'!$F$2:$F$403,AGGREGATE(15,6,(ROW('macs_ips'!$A$2:$A$403)-ROW(INDEX('macs_ips'!$A$2:$A$403,1,1))+1)/('macs_ips'!$E$2:$E$403=$J$1),ROW(A388))),"")</f>
        <v/>
      </c>
      <c r="G390" s="40">
        <f>IFERROR(INDEX('macs_ips'!$G$2:$G$403,AGGREGATE(15,6,(ROW('macs_ips'!$A$2:$A$403)-ROW(INDEX('macs_ips'!$A$2:$A$403,1,1))+1)/('macs_ips'!$E$2:$E$403=$J$1),ROW(A388))),"")</f>
        <v/>
      </c>
    </row>
    <row r="391">
      <c r="A391" s="40">
        <f>IFERROR(INDEX('macs_ips'!$A$2:$A$403,AGGREGATE(15,6,(ROW('macs_ips'!$A$2:$A$403)-ROW(INDEX('macs_ips'!$A$2:$A$403,1,1))+1)/('macs_ips'!$E$2:$E$403=$J$1),ROW(A389))),"")</f>
        <v/>
      </c>
      <c r="B391" s="40">
        <f>IFERROR(INDEX('macs_ips'!$B$2:$B$403,AGGREGATE(15,6,(ROW('macs_ips'!$A$2:$A$403)-ROW(INDEX('macs_ips'!$A$2:$A$403,1,1))+1)/('macs_ips'!$E$2:$E$403=$J$1),ROW(A389))),"")</f>
        <v/>
      </c>
      <c r="C391" s="40">
        <f>IFERROR(INDEX('macs_ips'!$C$2:$C$403,AGGREGATE(15,6,(ROW('macs_ips'!$A$2:$A$403)-ROW(INDEX('macs_ips'!$A$2:$A$403,1,1))+1)/('macs_ips'!$E$2:$E$403=$J$1),ROW(A389))),"")</f>
        <v/>
      </c>
      <c r="D391" s="41">
        <f>IFERROR(INDEX('macs_ips'!$D$2:$D$403,AGGREGATE(15,6,(ROW('macs_ips'!$A$2:$A$403)-ROW(INDEX('macs_ips'!$A$2:$A$403,1,1))+1)/('macs_ips'!$E$2:$E$403=$J$1),ROW(A389))),"")</f>
        <v/>
      </c>
      <c r="E391" s="40">
        <f>IFERROR(INDEX('macs_ips'!$E$2:$E$403,AGGREGATE(15,6,(ROW('macs_ips'!$A$2:$A$403)-ROW(INDEX('macs_ips'!$A$2:$A$403,1,1))+1)/('macs_ips'!$E$2:$E$403=$J$1),ROW(A389))),"")</f>
        <v/>
      </c>
      <c r="F391" s="41">
        <f>IFERROR(INDEX('macs_ips'!$F$2:$F$403,AGGREGATE(15,6,(ROW('macs_ips'!$A$2:$A$403)-ROW(INDEX('macs_ips'!$A$2:$A$403,1,1))+1)/('macs_ips'!$E$2:$E$403=$J$1),ROW(A389))),"")</f>
        <v/>
      </c>
      <c r="G391" s="40">
        <f>IFERROR(INDEX('macs_ips'!$G$2:$G$403,AGGREGATE(15,6,(ROW('macs_ips'!$A$2:$A$403)-ROW(INDEX('macs_ips'!$A$2:$A$403,1,1))+1)/('macs_ips'!$E$2:$E$403=$J$1),ROW(A389))),"")</f>
        <v/>
      </c>
    </row>
    <row r="392">
      <c r="A392" s="40">
        <f>IFERROR(INDEX('macs_ips'!$A$2:$A$403,AGGREGATE(15,6,(ROW('macs_ips'!$A$2:$A$403)-ROW(INDEX('macs_ips'!$A$2:$A$403,1,1))+1)/('macs_ips'!$E$2:$E$403=$J$1),ROW(A390))),"")</f>
        <v/>
      </c>
      <c r="B392" s="40">
        <f>IFERROR(INDEX('macs_ips'!$B$2:$B$403,AGGREGATE(15,6,(ROW('macs_ips'!$A$2:$A$403)-ROW(INDEX('macs_ips'!$A$2:$A$403,1,1))+1)/('macs_ips'!$E$2:$E$403=$J$1),ROW(A390))),"")</f>
        <v/>
      </c>
      <c r="C392" s="40">
        <f>IFERROR(INDEX('macs_ips'!$C$2:$C$403,AGGREGATE(15,6,(ROW('macs_ips'!$A$2:$A$403)-ROW(INDEX('macs_ips'!$A$2:$A$403,1,1))+1)/('macs_ips'!$E$2:$E$403=$J$1),ROW(A390))),"")</f>
        <v/>
      </c>
      <c r="D392" s="41">
        <f>IFERROR(INDEX('macs_ips'!$D$2:$D$403,AGGREGATE(15,6,(ROW('macs_ips'!$A$2:$A$403)-ROW(INDEX('macs_ips'!$A$2:$A$403,1,1))+1)/('macs_ips'!$E$2:$E$403=$J$1),ROW(A390))),"")</f>
        <v/>
      </c>
      <c r="E392" s="40">
        <f>IFERROR(INDEX('macs_ips'!$E$2:$E$403,AGGREGATE(15,6,(ROW('macs_ips'!$A$2:$A$403)-ROW(INDEX('macs_ips'!$A$2:$A$403,1,1))+1)/('macs_ips'!$E$2:$E$403=$J$1),ROW(A390))),"")</f>
        <v/>
      </c>
      <c r="F392" s="41">
        <f>IFERROR(INDEX('macs_ips'!$F$2:$F$403,AGGREGATE(15,6,(ROW('macs_ips'!$A$2:$A$403)-ROW(INDEX('macs_ips'!$A$2:$A$403,1,1))+1)/('macs_ips'!$E$2:$E$403=$J$1),ROW(A390))),"")</f>
        <v/>
      </c>
      <c r="G392" s="40">
        <f>IFERROR(INDEX('macs_ips'!$G$2:$G$403,AGGREGATE(15,6,(ROW('macs_ips'!$A$2:$A$403)-ROW(INDEX('macs_ips'!$A$2:$A$403,1,1))+1)/('macs_ips'!$E$2:$E$403=$J$1),ROW(A390))),"")</f>
        <v/>
      </c>
    </row>
    <row r="393">
      <c r="A393" s="40">
        <f>IFERROR(INDEX('macs_ips'!$A$2:$A$403,AGGREGATE(15,6,(ROW('macs_ips'!$A$2:$A$403)-ROW(INDEX('macs_ips'!$A$2:$A$403,1,1))+1)/('macs_ips'!$E$2:$E$403=$J$1),ROW(A391))),"")</f>
        <v/>
      </c>
      <c r="B393" s="40">
        <f>IFERROR(INDEX('macs_ips'!$B$2:$B$403,AGGREGATE(15,6,(ROW('macs_ips'!$A$2:$A$403)-ROW(INDEX('macs_ips'!$A$2:$A$403,1,1))+1)/('macs_ips'!$E$2:$E$403=$J$1),ROW(A391))),"")</f>
        <v/>
      </c>
      <c r="C393" s="40">
        <f>IFERROR(INDEX('macs_ips'!$C$2:$C$403,AGGREGATE(15,6,(ROW('macs_ips'!$A$2:$A$403)-ROW(INDEX('macs_ips'!$A$2:$A$403,1,1))+1)/('macs_ips'!$E$2:$E$403=$J$1),ROW(A391))),"")</f>
        <v/>
      </c>
      <c r="D393" s="41">
        <f>IFERROR(INDEX('macs_ips'!$D$2:$D$403,AGGREGATE(15,6,(ROW('macs_ips'!$A$2:$A$403)-ROW(INDEX('macs_ips'!$A$2:$A$403,1,1))+1)/('macs_ips'!$E$2:$E$403=$J$1),ROW(A391))),"")</f>
        <v/>
      </c>
      <c r="E393" s="40">
        <f>IFERROR(INDEX('macs_ips'!$E$2:$E$403,AGGREGATE(15,6,(ROW('macs_ips'!$A$2:$A$403)-ROW(INDEX('macs_ips'!$A$2:$A$403,1,1))+1)/('macs_ips'!$E$2:$E$403=$J$1),ROW(A391))),"")</f>
        <v/>
      </c>
      <c r="F393" s="41">
        <f>IFERROR(INDEX('macs_ips'!$F$2:$F$403,AGGREGATE(15,6,(ROW('macs_ips'!$A$2:$A$403)-ROW(INDEX('macs_ips'!$A$2:$A$403,1,1))+1)/('macs_ips'!$E$2:$E$403=$J$1),ROW(A391))),"")</f>
        <v/>
      </c>
      <c r="G393" s="40">
        <f>IFERROR(INDEX('macs_ips'!$G$2:$G$403,AGGREGATE(15,6,(ROW('macs_ips'!$A$2:$A$403)-ROW(INDEX('macs_ips'!$A$2:$A$403,1,1))+1)/('macs_ips'!$E$2:$E$403=$J$1),ROW(A391))),"")</f>
        <v/>
      </c>
    </row>
    <row r="394">
      <c r="A394" s="40">
        <f>IFERROR(INDEX('macs_ips'!$A$2:$A$403,AGGREGATE(15,6,(ROW('macs_ips'!$A$2:$A$403)-ROW(INDEX('macs_ips'!$A$2:$A$403,1,1))+1)/('macs_ips'!$E$2:$E$403=$J$1),ROW(A392))),"")</f>
        <v/>
      </c>
      <c r="B394" s="40">
        <f>IFERROR(INDEX('macs_ips'!$B$2:$B$403,AGGREGATE(15,6,(ROW('macs_ips'!$A$2:$A$403)-ROW(INDEX('macs_ips'!$A$2:$A$403,1,1))+1)/('macs_ips'!$E$2:$E$403=$J$1),ROW(A392))),"")</f>
        <v/>
      </c>
      <c r="C394" s="40">
        <f>IFERROR(INDEX('macs_ips'!$C$2:$C$403,AGGREGATE(15,6,(ROW('macs_ips'!$A$2:$A$403)-ROW(INDEX('macs_ips'!$A$2:$A$403,1,1))+1)/('macs_ips'!$E$2:$E$403=$J$1),ROW(A392))),"")</f>
        <v/>
      </c>
      <c r="D394" s="41">
        <f>IFERROR(INDEX('macs_ips'!$D$2:$D$403,AGGREGATE(15,6,(ROW('macs_ips'!$A$2:$A$403)-ROW(INDEX('macs_ips'!$A$2:$A$403,1,1))+1)/('macs_ips'!$E$2:$E$403=$J$1),ROW(A392))),"")</f>
        <v/>
      </c>
      <c r="E394" s="40">
        <f>IFERROR(INDEX('macs_ips'!$E$2:$E$403,AGGREGATE(15,6,(ROW('macs_ips'!$A$2:$A$403)-ROW(INDEX('macs_ips'!$A$2:$A$403,1,1))+1)/('macs_ips'!$E$2:$E$403=$J$1),ROW(A392))),"")</f>
        <v/>
      </c>
      <c r="F394" s="41">
        <f>IFERROR(INDEX('macs_ips'!$F$2:$F$403,AGGREGATE(15,6,(ROW('macs_ips'!$A$2:$A$403)-ROW(INDEX('macs_ips'!$A$2:$A$403,1,1))+1)/('macs_ips'!$E$2:$E$403=$J$1),ROW(A392))),"")</f>
        <v/>
      </c>
      <c r="G394" s="40">
        <f>IFERROR(INDEX('macs_ips'!$G$2:$G$403,AGGREGATE(15,6,(ROW('macs_ips'!$A$2:$A$403)-ROW(INDEX('macs_ips'!$A$2:$A$403,1,1))+1)/('macs_ips'!$E$2:$E$403=$J$1),ROW(A392))),"")</f>
        <v/>
      </c>
    </row>
    <row r="395">
      <c r="A395" s="40">
        <f>IFERROR(INDEX('macs_ips'!$A$2:$A$403,AGGREGATE(15,6,(ROW('macs_ips'!$A$2:$A$403)-ROW(INDEX('macs_ips'!$A$2:$A$403,1,1))+1)/('macs_ips'!$E$2:$E$403=$J$1),ROW(A393))),"")</f>
        <v/>
      </c>
      <c r="B395" s="40">
        <f>IFERROR(INDEX('macs_ips'!$B$2:$B$403,AGGREGATE(15,6,(ROW('macs_ips'!$A$2:$A$403)-ROW(INDEX('macs_ips'!$A$2:$A$403,1,1))+1)/('macs_ips'!$E$2:$E$403=$J$1),ROW(A393))),"")</f>
        <v/>
      </c>
      <c r="C395" s="40">
        <f>IFERROR(INDEX('macs_ips'!$C$2:$C$403,AGGREGATE(15,6,(ROW('macs_ips'!$A$2:$A$403)-ROW(INDEX('macs_ips'!$A$2:$A$403,1,1))+1)/('macs_ips'!$E$2:$E$403=$J$1),ROW(A393))),"")</f>
        <v/>
      </c>
      <c r="D395" s="41">
        <f>IFERROR(INDEX('macs_ips'!$D$2:$D$403,AGGREGATE(15,6,(ROW('macs_ips'!$A$2:$A$403)-ROW(INDEX('macs_ips'!$A$2:$A$403,1,1))+1)/('macs_ips'!$E$2:$E$403=$J$1),ROW(A393))),"")</f>
        <v/>
      </c>
      <c r="E395" s="40">
        <f>IFERROR(INDEX('macs_ips'!$E$2:$E$403,AGGREGATE(15,6,(ROW('macs_ips'!$A$2:$A$403)-ROW(INDEX('macs_ips'!$A$2:$A$403,1,1))+1)/('macs_ips'!$E$2:$E$403=$J$1),ROW(A393))),"")</f>
        <v/>
      </c>
      <c r="F395" s="41">
        <f>IFERROR(INDEX('macs_ips'!$F$2:$F$403,AGGREGATE(15,6,(ROW('macs_ips'!$A$2:$A$403)-ROW(INDEX('macs_ips'!$A$2:$A$403,1,1))+1)/('macs_ips'!$E$2:$E$403=$J$1),ROW(A393))),"")</f>
        <v/>
      </c>
      <c r="G395" s="40">
        <f>IFERROR(INDEX('macs_ips'!$G$2:$G$403,AGGREGATE(15,6,(ROW('macs_ips'!$A$2:$A$403)-ROW(INDEX('macs_ips'!$A$2:$A$403,1,1))+1)/('macs_ips'!$E$2:$E$403=$J$1),ROW(A393))),"")</f>
        <v/>
      </c>
    </row>
    <row r="396">
      <c r="A396" s="40">
        <f>IFERROR(INDEX('macs_ips'!$A$2:$A$403,AGGREGATE(15,6,(ROW('macs_ips'!$A$2:$A$403)-ROW(INDEX('macs_ips'!$A$2:$A$403,1,1))+1)/('macs_ips'!$E$2:$E$403=$J$1),ROW(A394))),"")</f>
        <v/>
      </c>
      <c r="B396" s="40">
        <f>IFERROR(INDEX('macs_ips'!$B$2:$B$403,AGGREGATE(15,6,(ROW('macs_ips'!$A$2:$A$403)-ROW(INDEX('macs_ips'!$A$2:$A$403,1,1))+1)/('macs_ips'!$E$2:$E$403=$J$1),ROW(A394))),"")</f>
        <v/>
      </c>
      <c r="C396" s="40">
        <f>IFERROR(INDEX('macs_ips'!$C$2:$C$403,AGGREGATE(15,6,(ROW('macs_ips'!$A$2:$A$403)-ROW(INDEX('macs_ips'!$A$2:$A$403,1,1))+1)/('macs_ips'!$E$2:$E$403=$J$1),ROW(A394))),"")</f>
        <v/>
      </c>
      <c r="D396" s="41">
        <f>IFERROR(INDEX('macs_ips'!$D$2:$D$403,AGGREGATE(15,6,(ROW('macs_ips'!$A$2:$A$403)-ROW(INDEX('macs_ips'!$A$2:$A$403,1,1))+1)/('macs_ips'!$E$2:$E$403=$J$1),ROW(A394))),"")</f>
        <v/>
      </c>
      <c r="E396" s="40">
        <f>IFERROR(INDEX('macs_ips'!$E$2:$E$403,AGGREGATE(15,6,(ROW('macs_ips'!$A$2:$A$403)-ROW(INDEX('macs_ips'!$A$2:$A$403,1,1))+1)/('macs_ips'!$E$2:$E$403=$J$1),ROW(A394))),"")</f>
        <v/>
      </c>
      <c r="F396" s="41">
        <f>IFERROR(INDEX('macs_ips'!$F$2:$F$403,AGGREGATE(15,6,(ROW('macs_ips'!$A$2:$A$403)-ROW(INDEX('macs_ips'!$A$2:$A$403,1,1))+1)/('macs_ips'!$E$2:$E$403=$J$1),ROW(A394))),"")</f>
        <v/>
      </c>
      <c r="G396" s="40">
        <f>IFERROR(INDEX('macs_ips'!$G$2:$G$403,AGGREGATE(15,6,(ROW('macs_ips'!$A$2:$A$403)-ROW(INDEX('macs_ips'!$A$2:$A$403,1,1))+1)/('macs_ips'!$E$2:$E$403=$J$1),ROW(A394))),"")</f>
        <v/>
      </c>
    </row>
    <row r="397">
      <c r="A397" s="40">
        <f>IFERROR(INDEX('macs_ips'!$A$2:$A$403,AGGREGATE(15,6,(ROW('macs_ips'!$A$2:$A$403)-ROW(INDEX('macs_ips'!$A$2:$A$403,1,1))+1)/('macs_ips'!$E$2:$E$403=$J$1),ROW(A395))),"")</f>
        <v/>
      </c>
      <c r="B397" s="40">
        <f>IFERROR(INDEX('macs_ips'!$B$2:$B$403,AGGREGATE(15,6,(ROW('macs_ips'!$A$2:$A$403)-ROW(INDEX('macs_ips'!$A$2:$A$403,1,1))+1)/('macs_ips'!$E$2:$E$403=$J$1),ROW(A395))),"")</f>
        <v/>
      </c>
      <c r="C397" s="40">
        <f>IFERROR(INDEX('macs_ips'!$C$2:$C$403,AGGREGATE(15,6,(ROW('macs_ips'!$A$2:$A$403)-ROW(INDEX('macs_ips'!$A$2:$A$403,1,1))+1)/('macs_ips'!$E$2:$E$403=$J$1),ROW(A395))),"")</f>
        <v/>
      </c>
      <c r="D397" s="41">
        <f>IFERROR(INDEX('macs_ips'!$D$2:$D$403,AGGREGATE(15,6,(ROW('macs_ips'!$A$2:$A$403)-ROW(INDEX('macs_ips'!$A$2:$A$403,1,1))+1)/('macs_ips'!$E$2:$E$403=$J$1),ROW(A395))),"")</f>
        <v/>
      </c>
      <c r="E397" s="40">
        <f>IFERROR(INDEX('macs_ips'!$E$2:$E$403,AGGREGATE(15,6,(ROW('macs_ips'!$A$2:$A$403)-ROW(INDEX('macs_ips'!$A$2:$A$403,1,1))+1)/('macs_ips'!$E$2:$E$403=$J$1),ROW(A395))),"")</f>
        <v/>
      </c>
      <c r="F397" s="41">
        <f>IFERROR(INDEX('macs_ips'!$F$2:$F$403,AGGREGATE(15,6,(ROW('macs_ips'!$A$2:$A$403)-ROW(INDEX('macs_ips'!$A$2:$A$403,1,1))+1)/('macs_ips'!$E$2:$E$403=$J$1),ROW(A395))),"")</f>
        <v/>
      </c>
      <c r="G397" s="40">
        <f>IFERROR(INDEX('macs_ips'!$G$2:$G$403,AGGREGATE(15,6,(ROW('macs_ips'!$A$2:$A$403)-ROW(INDEX('macs_ips'!$A$2:$A$403,1,1))+1)/('macs_ips'!$E$2:$E$403=$J$1),ROW(A395))),"")</f>
        <v/>
      </c>
    </row>
    <row r="398">
      <c r="A398" s="40">
        <f>IFERROR(INDEX('macs_ips'!$A$2:$A$403,AGGREGATE(15,6,(ROW('macs_ips'!$A$2:$A$403)-ROW(INDEX('macs_ips'!$A$2:$A$403,1,1))+1)/('macs_ips'!$E$2:$E$403=$J$1),ROW(A396))),"")</f>
        <v/>
      </c>
      <c r="B398" s="40">
        <f>IFERROR(INDEX('macs_ips'!$B$2:$B$403,AGGREGATE(15,6,(ROW('macs_ips'!$A$2:$A$403)-ROW(INDEX('macs_ips'!$A$2:$A$403,1,1))+1)/('macs_ips'!$E$2:$E$403=$J$1),ROW(A396))),"")</f>
        <v/>
      </c>
      <c r="C398" s="40">
        <f>IFERROR(INDEX('macs_ips'!$C$2:$C$403,AGGREGATE(15,6,(ROW('macs_ips'!$A$2:$A$403)-ROW(INDEX('macs_ips'!$A$2:$A$403,1,1))+1)/('macs_ips'!$E$2:$E$403=$J$1),ROW(A396))),"")</f>
        <v/>
      </c>
      <c r="D398" s="41">
        <f>IFERROR(INDEX('macs_ips'!$D$2:$D$403,AGGREGATE(15,6,(ROW('macs_ips'!$A$2:$A$403)-ROW(INDEX('macs_ips'!$A$2:$A$403,1,1))+1)/('macs_ips'!$E$2:$E$403=$J$1),ROW(A396))),"")</f>
        <v/>
      </c>
      <c r="E398" s="40">
        <f>IFERROR(INDEX('macs_ips'!$E$2:$E$403,AGGREGATE(15,6,(ROW('macs_ips'!$A$2:$A$403)-ROW(INDEX('macs_ips'!$A$2:$A$403,1,1))+1)/('macs_ips'!$E$2:$E$403=$J$1),ROW(A396))),"")</f>
        <v/>
      </c>
      <c r="F398" s="41">
        <f>IFERROR(INDEX('macs_ips'!$F$2:$F$403,AGGREGATE(15,6,(ROW('macs_ips'!$A$2:$A$403)-ROW(INDEX('macs_ips'!$A$2:$A$403,1,1))+1)/('macs_ips'!$E$2:$E$403=$J$1),ROW(A396))),"")</f>
        <v/>
      </c>
      <c r="G398" s="40">
        <f>IFERROR(INDEX('macs_ips'!$G$2:$G$403,AGGREGATE(15,6,(ROW('macs_ips'!$A$2:$A$403)-ROW(INDEX('macs_ips'!$A$2:$A$403,1,1))+1)/('macs_ips'!$E$2:$E$403=$J$1),ROW(A396))),"")</f>
        <v/>
      </c>
    </row>
    <row r="399">
      <c r="A399" s="40">
        <f>IFERROR(INDEX('macs_ips'!$A$2:$A$403,AGGREGATE(15,6,(ROW('macs_ips'!$A$2:$A$403)-ROW(INDEX('macs_ips'!$A$2:$A$403,1,1))+1)/('macs_ips'!$E$2:$E$403=$J$1),ROW(A397))),"")</f>
        <v/>
      </c>
      <c r="B399" s="40">
        <f>IFERROR(INDEX('macs_ips'!$B$2:$B$403,AGGREGATE(15,6,(ROW('macs_ips'!$A$2:$A$403)-ROW(INDEX('macs_ips'!$A$2:$A$403,1,1))+1)/('macs_ips'!$E$2:$E$403=$J$1),ROW(A397))),"")</f>
        <v/>
      </c>
      <c r="C399" s="40">
        <f>IFERROR(INDEX('macs_ips'!$C$2:$C$403,AGGREGATE(15,6,(ROW('macs_ips'!$A$2:$A$403)-ROW(INDEX('macs_ips'!$A$2:$A$403,1,1))+1)/('macs_ips'!$E$2:$E$403=$J$1),ROW(A397))),"")</f>
        <v/>
      </c>
      <c r="D399" s="41">
        <f>IFERROR(INDEX('macs_ips'!$D$2:$D$403,AGGREGATE(15,6,(ROW('macs_ips'!$A$2:$A$403)-ROW(INDEX('macs_ips'!$A$2:$A$403,1,1))+1)/('macs_ips'!$E$2:$E$403=$J$1),ROW(A397))),"")</f>
        <v/>
      </c>
      <c r="E399" s="40">
        <f>IFERROR(INDEX('macs_ips'!$E$2:$E$403,AGGREGATE(15,6,(ROW('macs_ips'!$A$2:$A$403)-ROW(INDEX('macs_ips'!$A$2:$A$403,1,1))+1)/('macs_ips'!$E$2:$E$403=$J$1),ROW(A397))),"")</f>
        <v/>
      </c>
      <c r="F399" s="41">
        <f>IFERROR(INDEX('macs_ips'!$F$2:$F$403,AGGREGATE(15,6,(ROW('macs_ips'!$A$2:$A$403)-ROW(INDEX('macs_ips'!$A$2:$A$403,1,1))+1)/('macs_ips'!$E$2:$E$403=$J$1),ROW(A397))),"")</f>
        <v/>
      </c>
      <c r="G399" s="40">
        <f>IFERROR(INDEX('macs_ips'!$G$2:$G$403,AGGREGATE(15,6,(ROW('macs_ips'!$A$2:$A$403)-ROW(INDEX('macs_ips'!$A$2:$A$403,1,1))+1)/('macs_ips'!$E$2:$E$403=$J$1),ROW(A397))),"")</f>
        <v/>
      </c>
    </row>
    <row r="400">
      <c r="A400" s="40">
        <f>IFERROR(INDEX('macs_ips'!$A$2:$A$403,AGGREGATE(15,6,(ROW('macs_ips'!$A$2:$A$403)-ROW(INDEX('macs_ips'!$A$2:$A$403,1,1))+1)/('macs_ips'!$E$2:$E$403=$J$1),ROW(A398))),"")</f>
        <v/>
      </c>
      <c r="B400" s="40">
        <f>IFERROR(INDEX('macs_ips'!$B$2:$B$403,AGGREGATE(15,6,(ROW('macs_ips'!$A$2:$A$403)-ROW(INDEX('macs_ips'!$A$2:$A$403,1,1))+1)/('macs_ips'!$E$2:$E$403=$J$1),ROW(A398))),"")</f>
        <v/>
      </c>
      <c r="C400" s="40">
        <f>IFERROR(INDEX('macs_ips'!$C$2:$C$403,AGGREGATE(15,6,(ROW('macs_ips'!$A$2:$A$403)-ROW(INDEX('macs_ips'!$A$2:$A$403,1,1))+1)/('macs_ips'!$E$2:$E$403=$J$1),ROW(A398))),"")</f>
        <v/>
      </c>
      <c r="D400" s="41">
        <f>IFERROR(INDEX('macs_ips'!$D$2:$D$403,AGGREGATE(15,6,(ROW('macs_ips'!$A$2:$A$403)-ROW(INDEX('macs_ips'!$A$2:$A$403,1,1))+1)/('macs_ips'!$E$2:$E$403=$J$1),ROW(A398))),"")</f>
        <v/>
      </c>
      <c r="E400" s="40">
        <f>IFERROR(INDEX('macs_ips'!$E$2:$E$403,AGGREGATE(15,6,(ROW('macs_ips'!$A$2:$A$403)-ROW(INDEX('macs_ips'!$A$2:$A$403,1,1))+1)/('macs_ips'!$E$2:$E$403=$J$1),ROW(A398))),"")</f>
        <v/>
      </c>
      <c r="F400" s="41">
        <f>IFERROR(INDEX('macs_ips'!$F$2:$F$403,AGGREGATE(15,6,(ROW('macs_ips'!$A$2:$A$403)-ROW(INDEX('macs_ips'!$A$2:$A$403,1,1))+1)/('macs_ips'!$E$2:$E$403=$J$1),ROW(A398))),"")</f>
        <v/>
      </c>
      <c r="G400" s="40">
        <f>IFERROR(INDEX('macs_ips'!$G$2:$G$403,AGGREGATE(15,6,(ROW('macs_ips'!$A$2:$A$403)-ROW(INDEX('macs_ips'!$A$2:$A$403,1,1))+1)/('macs_ips'!$E$2:$E$403=$J$1),ROW(A398))),"")</f>
        <v/>
      </c>
    </row>
    <row r="401">
      <c r="A401" s="40">
        <f>IFERROR(INDEX('macs_ips'!$A$2:$A$403,AGGREGATE(15,6,(ROW('macs_ips'!$A$2:$A$403)-ROW(INDEX('macs_ips'!$A$2:$A$403,1,1))+1)/('macs_ips'!$E$2:$E$403=$J$1),ROW(A399))),"")</f>
        <v/>
      </c>
      <c r="B401" s="40">
        <f>IFERROR(INDEX('macs_ips'!$B$2:$B$403,AGGREGATE(15,6,(ROW('macs_ips'!$A$2:$A$403)-ROW(INDEX('macs_ips'!$A$2:$A$403,1,1))+1)/('macs_ips'!$E$2:$E$403=$J$1),ROW(A399))),"")</f>
        <v/>
      </c>
      <c r="C401" s="40">
        <f>IFERROR(INDEX('macs_ips'!$C$2:$C$403,AGGREGATE(15,6,(ROW('macs_ips'!$A$2:$A$403)-ROW(INDEX('macs_ips'!$A$2:$A$403,1,1))+1)/('macs_ips'!$E$2:$E$403=$J$1),ROW(A399))),"")</f>
        <v/>
      </c>
      <c r="D401" s="41">
        <f>IFERROR(INDEX('macs_ips'!$D$2:$D$403,AGGREGATE(15,6,(ROW('macs_ips'!$A$2:$A$403)-ROW(INDEX('macs_ips'!$A$2:$A$403,1,1))+1)/('macs_ips'!$E$2:$E$403=$J$1),ROW(A399))),"")</f>
        <v/>
      </c>
      <c r="E401" s="40">
        <f>IFERROR(INDEX('macs_ips'!$E$2:$E$403,AGGREGATE(15,6,(ROW('macs_ips'!$A$2:$A$403)-ROW(INDEX('macs_ips'!$A$2:$A$403,1,1))+1)/('macs_ips'!$E$2:$E$403=$J$1),ROW(A399))),"")</f>
        <v/>
      </c>
      <c r="F401" s="41">
        <f>IFERROR(INDEX('macs_ips'!$F$2:$F$403,AGGREGATE(15,6,(ROW('macs_ips'!$A$2:$A$403)-ROW(INDEX('macs_ips'!$A$2:$A$403,1,1))+1)/('macs_ips'!$E$2:$E$403=$J$1),ROW(A399))),"")</f>
        <v/>
      </c>
      <c r="G401" s="40">
        <f>IFERROR(INDEX('macs_ips'!$G$2:$G$403,AGGREGATE(15,6,(ROW('macs_ips'!$A$2:$A$403)-ROW(INDEX('macs_ips'!$A$2:$A$403,1,1))+1)/('macs_ips'!$E$2:$E$403=$J$1),ROW(A399))),"")</f>
        <v/>
      </c>
    </row>
    <row r="402">
      <c r="A402" s="40">
        <f>IFERROR(INDEX('macs_ips'!$A$2:$A$403,AGGREGATE(15,6,(ROW('macs_ips'!$A$2:$A$403)-ROW(INDEX('macs_ips'!$A$2:$A$403,1,1))+1)/('macs_ips'!$E$2:$E$403=$J$1),ROW(A400))),"")</f>
        <v/>
      </c>
      <c r="B402" s="40">
        <f>IFERROR(INDEX('macs_ips'!$B$2:$B$403,AGGREGATE(15,6,(ROW('macs_ips'!$A$2:$A$403)-ROW(INDEX('macs_ips'!$A$2:$A$403,1,1))+1)/('macs_ips'!$E$2:$E$403=$J$1),ROW(A400))),"")</f>
        <v/>
      </c>
      <c r="C402" s="40">
        <f>IFERROR(INDEX('macs_ips'!$C$2:$C$403,AGGREGATE(15,6,(ROW('macs_ips'!$A$2:$A$403)-ROW(INDEX('macs_ips'!$A$2:$A$403,1,1))+1)/('macs_ips'!$E$2:$E$403=$J$1),ROW(A400))),"")</f>
        <v/>
      </c>
      <c r="D402" s="41">
        <f>IFERROR(INDEX('macs_ips'!$D$2:$D$403,AGGREGATE(15,6,(ROW('macs_ips'!$A$2:$A$403)-ROW(INDEX('macs_ips'!$A$2:$A$403,1,1))+1)/('macs_ips'!$E$2:$E$403=$J$1),ROW(A400))),"")</f>
        <v/>
      </c>
      <c r="E402" s="40">
        <f>IFERROR(INDEX('macs_ips'!$E$2:$E$403,AGGREGATE(15,6,(ROW('macs_ips'!$A$2:$A$403)-ROW(INDEX('macs_ips'!$A$2:$A$403,1,1))+1)/('macs_ips'!$E$2:$E$403=$J$1),ROW(A400))),"")</f>
        <v/>
      </c>
      <c r="F402" s="41">
        <f>IFERROR(INDEX('macs_ips'!$F$2:$F$403,AGGREGATE(15,6,(ROW('macs_ips'!$A$2:$A$403)-ROW(INDEX('macs_ips'!$A$2:$A$403,1,1))+1)/('macs_ips'!$E$2:$E$403=$J$1),ROW(A400))),"")</f>
        <v/>
      </c>
      <c r="G402" s="40">
        <f>IFERROR(INDEX('macs_ips'!$G$2:$G$403,AGGREGATE(15,6,(ROW('macs_ips'!$A$2:$A$403)-ROW(INDEX('macs_ips'!$A$2:$A$403,1,1))+1)/('macs_ips'!$E$2:$E$403=$J$1),ROW(A400))),"")</f>
        <v/>
      </c>
    </row>
    <row r="403">
      <c r="A403" s="40">
        <f>IFERROR(INDEX('macs_ips'!$A$2:$A$403,AGGREGATE(15,6,(ROW('macs_ips'!$A$2:$A$403)-ROW(INDEX('macs_ips'!$A$2:$A$403,1,1))+1)/('macs_ips'!$E$2:$E$403=$J$1),ROW(A401))),"")</f>
        <v/>
      </c>
      <c r="B403" s="40">
        <f>IFERROR(INDEX('macs_ips'!$B$2:$B$403,AGGREGATE(15,6,(ROW('macs_ips'!$A$2:$A$403)-ROW(INDEX('macs_ips'!$A$2:$A$403,1,1))+1)/('macs_ips'!$E$2:$E$403=$J$1),ROW(A401))),"")</f>
        <v/>
      </c>
      <c r="C403" s="40">
        <f>IFERROR(INDEX('macs_ips'!$C$2:$C$403,AGGREGATE(15,6,(ROW('macs_ips'!$A$2:$A$403)-ROW(INDEX('macs_ips'!$A$2:$A$403,1,1))+1)/('macs_ips'!$E$2:$E$403=$J$1),ROW(A401))),"")</f>
        <v/>
      </c>
      <c r="D403" s="41">
        <f>IFERROR(INDEX('macs_ips'!$D$2:$D$403,AGGREGATE(15,6,(ROW('macs_ips'!$A$2:$A$403)-ROW(INDEX('macs_ips'!$A$2:$A$403,1,1))+1)/('macs_ips'!$E$2:$E$403=$J$1),ROW(A401))),"")</f>
        <v/>
      </c>
      <c r="E403" s="40">
        <f>IFERROR(INDEX('macs_ips'!$E$2:$E$403,AGGREGATE(15,6,(ROW('macs_ips'!$A$2:$A$403)-ROW(INDEX('macs_ips'!$A$2:$A$403,1,1))+1)/('macs_ips'!$E$2:$E$403=$J$1),ROW(A401))),"")</f>
        <v/>
      </c>
      <c r="F403" s="41">
        <f>IFERROR(INDEX('macs_ips'!$F$2:$F$403,AGGREGATE(15,6,(ROW('macs_ips'!$A$2:$A$403)-ROW(INDEX('macs_ips'!$A$2:$A$403,1,1))+1)/('macs_ips'!$E$2:$E$403=$J$1),ROW(A401))),"")</f>
        <v/>
      </c>
      <c r="G403" s="40">
        <f>IFERROR(INDEX('macs_ips'!$G$2:$G$403,AGGREGATE(15,6,(ROW('macs_ips'!$A$2:$A$403)-ROW(INDEX('macs_ips'!$A$2:$A$403,1,1))+1)/('macs_ips'!$E$2:$E$403=$J$1),ROW(A401))),"")</f>
        <v/>
      </c>
    </row>
    <row r="404">
      <c r="A404" s="40">
        <f>IFERROR(INDEX('macs_ips'!$A$2:$A$403,AGGREGATE(15,6,(ROW('macs_ips'!$A$2:$A$403)-ROW(INDEX('macs_ips'!$A$2:$A$403,1,1))+1)/('macs_ips'!$E$2:$E$403=$J$1),ROW(A402))),"")</f>
        <v/>
      </c>
      <c r="B404" s="40">
        <f>IFERROR(INDEX('macs_ips'!$B$2:$B$403,AGGREGATE(15,6,(ROW('macs_ips'!$A$2:$A$403)-ROW(INDEX('macs_ips'!$A$2:$A$403,1,1))+1)/('macs_ips'!$E$2:$E$403=$J$1),ROW(A402))),"")</f>
        <v/>
      </c>
      <c r="C404" s="40">
        <f>IFERROR(INDEX('macs_ips'!$C$2:$C$403,AGGREGATE(15,6,(ROW('macs_ips'!$A$2:$A$403)-ROW(INDEX('macs_ips'!$A$2:$A$403,1,1))+1)/('macs_ips'!$E$2:$E$403=$J$1),ROW(A402))),"")</f>
        <v/>
      </c>
      <c r="D404" s="41">
        <f>IFERROR(INDEX('macs_ips'!$D$2:$D$403,AGGREGATE(15,6,(ROW('macs_ips'!$A$2:$A$403)-ROW(INDEX('macs_ips'!$A$2:$A$403,1,1))+1)/('macs_ips'!$E$2:$E$403=$J$1),ROW(A402))),"")</f>
        <v/>
      </c>
      <c r="E404" s="40">
        <f>IFERROR(INDEX('macs_ips'!$E$2:$E$403,AGGREGATE(15,6,(ROW('macs_ips'!$A$2:$A$403)-ROW(INDEX('macs_ips'!$A$2:$A$403,1,1))+1)/('macs_ips'!$E$2:$E$403=$J$1),ROW(A402))),"")</f>
        <v/>
      </c>
      <c r="F404" s="41">
        <f>IFERROR(INDEX('macs_ips'!$F$2:$F$403,AGGREGATE(15,6,(ROW('macs_ips'!$A$2:$A$403)-ROW(INDEX('macs_ips'!$A$2:$A$403,1,1))+1)/('macs_ips'!$E$2:$E$403=$J$1),ROW(A402))),"")</f>
        <v/>
      </c>
      <c r="G404" s="40">
        <f>IFERROR(INDEX('macs_ips'!$G$2:$G$403,AGGREGATE(15,6,(ROW('macs_ips'!$A$2:$A$403)-ROW(INDEX('macs_ips'!$A$2:$A$403,1,1))+1)/('macs_ips'!$E$2:$E$403=$J$1),ROW(A402))),"")</f>
        <v/>
      </c>
    </row>
    <row r="405">
      <c r="A405" s="40">
        <f>IFERROR(INDEX('macs_ips'!$A$2:$A$403,AGGREGATE(15,6,(ROW('macs_ips'!$A$2:$A$403)-ROW(INDEX('macs_ips'!$A$2:$A$403,1,1))+1)/('macs_ips'!$E$2:$E$403=$J$1),ROW(A403))),"")</f>
        <v/>
      </c>
      <c r="B405" s="40">
        <f>IFERROR(INDEX('macs_ips'!$B$2:$B$403,AGGREGATE(15,6,(ROW('macs_ips'!$A$2:$A$403)-ROW(INDEX('macs_ips'!$A$2:$A$403,1,1))+1)/('macs_ips'!$E$2:$E$403=$J$1),ROW(A403))),"")</f>
        <v/>
      </c>
      <c r="C405" s="40">
        <f>IFERROR(INDEX('macs_ips'!$C$2:$C$403,AGGREGATE(15,6,(ROW('macs_ips'!$A$2:$A$403)-ROW(INDEX('macs_ips'!$A$2:$A$403,1,1))+1)/('macs_ips'!$E$2:$E$403=$J$1),ROW(A403))),"")</f>
        <v/>
      </c>
      <c r="D405" s="41">
        <f>IFERROR(INDEX('macs_ips'!$D$2:$D$403,AGGREGATE(15,6,(ROW('macs_ips'!$A$2:$A$403)-ROW(INDEX('macs_ips'!$A$2:$A$403,1,1))+1)/('macs_ips'!$E$2:$E$403=$J$1),ROW(A403))),"")</f>
        <v/>
      </c>
      <c r="E405" s="40">
        <f>IFERROR(INDEX('macs_ips'!$E$2:$E$403,AGGREGATE(15,6,(ROW('macs_ips'!$A$2:$A$403)-ROW(INDEX('macs_ips'!$A$2:$A$403,1,1))+1)/('macs_ips'!$E$2:$E$403=$J$1),ROW(A403))),"")</f>
        <v/>
      </c>
      <c r="F405" s="41">
        <f>IFERROR(INDEX('macs_ips'!$F$2:$F$403,AGGREGATE(15,6,(ROW('macs_ips'!$A$2:$A$403)-ROW(INDEX('macs_ips'!$A$2:$A$403,1,1))+1)/('macs_ips'!$E$2:$E$403=$J$1),ROW(A403))),"")</f>
        <v/>
      </c>
      <c r="G405" s="40">
        <f>IFERROR(INDEX('macs_ips'!$G$2:$G$403,AGGREGATE(15,6,(ROW('macs_ips'!$A$2:$A$403)-ROW(INDEX('macs_ips'!$A$2:$A$403,1,1))+1)/('macs_ips'!$E$2:$E$403=$J$1),ROW(A403))),"")</f>
        <v/>
      </c>
    </row>
    <row r="406">
      <c r="A406" s="40">
        <f>IFERROR(INDEX('macs_ips'!$A$2:$A$403,AGGREGATE(15,6,(ROW('macs_ips'!$A$2:$A$403)-ROW(INDEX('macs_ips'!$A$2:$A$403,1,1))+1)/('macs_ips'!$E$2:$E$403=$J$1),ROW(A404))),"")</f>
        <v/>
      </c>
      <c r="B406" s="40">
        <f>IFERROR(INDEX('macs_ips'!$B$2:$B$403,AGGREGATE(15,6,(ROW('macs_ips'!$A$2:$A$403)-ROW(INDEX('macs_ips'!$A$2:$A$403,1,1))+1)/('macs_ips'!$E$2:$E$403=$J$1),ROW(A404))),"")</f>
        <v/>
      </c>
      <c r="C406" s="40">
        <f>IFERROR(INDEX('macs_ips'!$C$2:$C$403,AGGREGATE(15,6,(ROW('macs_ips'!$A$2:$A$403)-ROW(INDEX('macs_ips'!$A$2:$A$403,1,1))+1)/('macs_ips'!$E$2:$E$403=$J$1),ROW(A404))),"")</f>
        <v/>
      </c>
      <c r="D406" s="41">
        <f>IFERROR(INDEX('macs_ips'!$D$2:$D$403,AGGREGATE(15,6,(ROW('macs_ips'!$A$2:$A$403)-ROW(INDEX('macs_ips'!$A$2:$A$403,1,1))+1)/('macs_ips'!$E$2:$E$403=$J$1),ROW(A404))),"")</f>
        <v/>
      </c>
      <c r="E406" s="40">
        <f>IFERROR(INDEX('macs_ips'!$E$2:$E$403,AGGREGATE(15,6,(ROW('macs_ips'!$A$2:$A$403)-ROW(INDEX('macs_ips'!$A$2:$A$403,1,1))+1)/('macs_ips'!$E$2:$E$403=$J$1),ROW(A404))),"")</f>
        <v/>
      </c>
      <c r="F406" s="41">
        <f>IFERROR(INDEX('macs_ips'!$F$2:$F$403,AGGREGATE(15,6,(ROW('macs_ips'!$A$2:$A$403)-ROW(INDEX('macs_ips'!$A$2:$A$403,1,1))+1)/('macs_ips'!$E$2:$E$403=$J$1),ROW(A404))),"")</f>
        <v/>
      </c>
      <c r="G406" s="40">
        <f>IFERROR(INDEX('macs_ips'!$G$2:$G$403,AGGREGATE(15,6,(ROW('macs_ips'!$A$2:$A$403)-ROW(INDEX('macs_ips'!$A$2:$A$403,1,1))+1)/('macs_ips'!$E$2:$E$403=$J$1),ROW(A404))),"")</f>
        <v/>
      </c>
    </row>
    <row r="407">
      <c r="A407" s="40">
        <f>IFERROR(INDEX('macs_ips'!$A$2:$A$403,AGGREGATE(15,6,(ROW('macs_ips'!$A$2:$A$403)-ROW(INDEX('macs_ips'!$A$2:$A$403,1,1))+1)/('macs_ips'!$E$2:$E$403=$J$1),ROW(A405))),"")</f>
        <v/>
      </c>
      <c r="B407" s="40">
        <f>IFERROR(INDEX('macs_ips'!$B$2:$B$403,AGGREGATE(15,6,(ROW('macs_ips'!$A$2:$A$403)-ROW(INDEX('macs_ips'!$A$2:$A$403,1,1))+1)/('macs_ips'!$E$2:$E$403=$J$1),ROW(A405))),"")</f>
        <v/>
      </c>
      <c r="C407" s="40">
        <f>IFERROR(INDEX('macs_ips'!$C$2:$C$403,AGGREGATE(15,6,(ROW('macs_ips'!$A$2:$A$403)-ROW(INDEX('macs_ips'!$A$2:$A$403,1,1))+1)/('macs_ips'!$E$2:$E$403=$J$1),ROW(A405))),"")</f>
        <v/>
      </c>
      <c r="D407" s="41">
        <f>IFERROR(INDEX('macs_ips'!$D$2:$D$403,AGGREGATE(15,6,(ROW('macs_ips'!$A$2:$A$403)-ROW(INDEX('macs_ips'!$A$2:$A$403,1,1))+1)/('macs_ips'!$E$2:$E$403=$J$1),ROW(A405))),"")</f>
        <v/>
      </c>
      <c r="E407" s="40">
        <f>IFERROR(INDEX('macs_ips'!$E$2:$E$403,AGGREGATE(15,6,(ROW('macs_ips'!$A$2:$A$403)-ROW(INDEX('macs_ips'!$A$2:$A$403,1,1))+1)/('macs_ips'!$E$2:$E$403=$J$1),ROW(A405))),"")</f>
        <v/>
      </c>
      <c r="F407" s="41">
        <f>IFERROR(INDEX('macs_ips'!$F$2:$F$403,AGGREGATE(15,6,(ROW('macs_ips'!$A$2:$A$403)-ROW(INDEX('macs_ips'!$A$2:$A$403,1,1))+1)/('macs_ips'!$E$2:$E$403=$J$1),ROW(A405))),"")</f>
        <v/>
      </c>
      <c r="G407" s="40">
        <f>IFERROR(INDEX('macs_ips'!$G$2:$G$403,AGGREGATE(15,6,(ROW('macs_ips'!$A$2:$A$403)-ROW(INDEX('macs_ips'!$A$2:$A$403,1,1))+1)/('macs_ips'!$E$2:$E$403=$J$1),ROW(A405))),"")</f>
        <v/>
      </c>
    </row>
    <row r="408">
      <c r="A408" s="40">
        <f>IFERROR(INDEX('macs_ips'!$A$2:$A$403,AGGREGATE(15,6,(ROW('macs_ips'!$A$2:$A$403)-ROW(INDEX('macs_ips'!$A$2:$A$403,1,1))+1)/('macs_ips'!$E$2:$E$403=$J$1),ROW(A406))),"")</f>
        <v/>
      </c>
      <c r="B408" s="40">
        <f>IFERROR(INDEX('macs_ips'!$B$2:$B$403,AGGREGATE(15,6,(ROW('macs_ips'!$A$2:$A$403)-ROW(INDEX('macs_ips'!$A$2:$A$403,1,1))+1)/('macs_ips'!$E$2:$E$403=$J$1),ROW(A406))),"")</f>
        <v/>
      </c>
      <c r="C408" s="40">
        <f>IFERROR(INDEX('macs_ips'!$C$2:$C$403,AGGREGATE(15,6,(ROW('macs_ips'!$A$2:$A$403)-ROW(INDEX('macs_ips'!$A$2:$A$403,1,1))+1)/('macs_ips'!$E$2:$E$403=$J$1),ROW(A406))),"")</f>
        <v/>
      </c>
      <c r="D408" s="41">
        <f>IFERROR(INDEX('macs_ips'!$D$2:$D$403,AGGREGATE(15,6,(ROW('macs_ips'!$A$2:$A$403)-ROW(INDEX('macs_ips'!$A$2:$A$403,1,1))+1)/('macs_ips'!$E$2:$E$403=$J$1),ROW(A406))),"")</f>
        <v/>
      </c>
      <c r="E408" s="40">
        <f>IFERROR(INDEX('macs_ips'!$E$2:$E$403,AGGREGATE(15,6,(ROW('macs_ips'!$A$2:$A$403)-ROW(INDEX('macs_ips'!$A$2:$A$403,1,1))+1)/('macs_ips'!$E$2:$E$403=$J$1),ROW(A406))),"")</f>
        <v/>
      </c>
      <c r="F408" s="41">
        <f>IFERROR(INDEX('macs_ips'!$F$2:$F$403,AGGREGATE(15,6,(ROW('macs_ips'!$A$2:$A$403)-ROW(INDEX('macs_ips'!$A$2:$A$403,1,1))+1)/('macs_ips'!$E$2:$E$403=$J$1),ROW(A406))),"")</f>
        <v/>
      </c>
      <c r="G408" s="40">
        <f>IFERROR(INDEX('macs_ips'!$G$2:$G$403,AGGREGATE(15,6,(ROW('macs_ips'!$A$2:$A$403)-ROW(INDEX('macs_ips'!$A$2:$A$403,1,1))+1)/('macs_ips'!$E$2:$E$403=$J$1),ROW(A406))),"")</f>
        <v/>
      </c>
    </row>
    <row r="409">
      <c r="A409" s="40">
        <f>IFERROR(INDEX('macs_ips'!$A$2:$A$403,AGGREGATE(15,6,(ROW('macs_ips'!$A$2:$A$403)-ROW(INDEX('macs_ips'!$A$2:$A$403,1,1))+1)/('macs_ips'!$E$2:$E$403=$J$1),ROW(A407))),"")</f>
        <v/>
      </c>
      <c r="B409" s="40">
        <f>IFERROR(INDEX('macs_ips'!$B$2:$B$403,AGGREGATE(15,6,(ROW('macs_ips'!$A$2:$A$403)-ROW(INDEX('macs_ips'!$A$2:$A$403,1,1))+1)/('macs_ips'!$E$2:$E$403=$J$1),ROW(A407))),"")</f>
        <v/>
      </c>
      <c r="C409" s="40">
        <f>IFERROR(INDEX('macs_ips'!$C$2:$C$403,AGGREGATE(15,6,(ROW('macs_ips'!$A$2:$A$403)-ROW(INDEX('macs_ips'!$A$2:$A$403,1,1))+1)/('macs_ips'!$E$2:$E$403=$J$1),ROW(A407))),"")</f>
        <v/>
      </c>
      <c r="D409" s="41">
        <f>IFERROR(INDEX('macs_ips'!$D$2:$D$403,AGGREGATE(15,6,(ROW('macs_ips'!$A$2:$A$403)-ROW(INDEX('macs_ips'!$A$2:$A$403,1,1))+1)/('macs_ips'!$E$2:$E$403=$J$1),ROW(A407))),"")</f>
        <v/>
      </c>
      <c r="E409" s="40">
        <f>IFERROR(INDEX('macs_ips'!$E$2:$E$403,AGGREGATE(15,6,(ROW('macs_ips'!$A$2:$A$403)-ROW(INDEX('macs_ips'!$A$2:$A$403,1,1))+1)/('macs_ips'!$E$2:$E$403=$J$1),ROW(A407))),"")</f>
        <v/>
      </c>
      <c r="F409" s="41">
        <f>IFERROR(INDEX('macs_ips'!$F$2:$F$403,AGGREGATE(15,6,(ROW('macs_ips'!$A$2:$A$403)-ROW(INDEX('macs_ips'!$A$2:$A$403,1,1))+1)/('macs_ips'!$E$2:$E$403=$J$1),ROW(A407))),"")</f>
        <v/>
      </c>
      <c r="G409" s="40">
        <f>IFERROR(INDEX('macs_ips'!$G$2:$G$403,AGGREGATE(15,6,(ROW('macs_ips'!$A$2:$A$403)-ROW(INDEX('macs_ips'!$A$2:$A$403,1,1))+1)/('macs_ips'!$E$2:$E$403=$J$1),ROW(A407))),"")</f>
        <v/>
      </c>
    </row>
    <row r="410">
      <c r="A410" s="40">
        <f>IFERROR(INDEX('macs_ips'!$A$2:$A$403,AGGREGATE(15,6,(ROW('macs_ips'!$A$2:$A$403)-ROW(INDEX('macs_ips'!$A$2:$A$403,1,1))+1)/('macs_ips'!$E$2:$E$403=$J$1),ROW(A408))),"")</f>
        <v/>
      </c>
      <c r="B410" s="40">
        <f>IFERROR(INDEX('macs_ips'!$B$2:$B$403,AGGREGATE(15,6,(ROW('macs_ips'!$A$2:$A$403)-ROW(INDEX('macs_ips'!$A$2:$A$403,1,1))+1)/('macs_ips'!$E$2:$E$403=$J$1),ROW(A408))),"")</f>
        <v/>
      </c>
      <c r="C410" s="40">
        <f>IFERROR(INDEX('macs_ips'!$C$2:$C$403,AGGREGATE(15,6,(ROW('macs_ips'!$A$2:$A$403)-ROW(INDEX('macs_ips'!$A$2:$A$403,1,1))+1)/('macs_ips'!$E$2:$E$403=$J$1),ROW(A408))),"")</f>
        <v/>
      </c>
      <c r="D410" s="41">
        <f>IFERROR(INDEX('macs_ips'!$D$2:$D$403,AGGREGATE(15,6,(ROW('macs_ips'!$A$2:$A$403)-ROW(INDEX('macs_ips'!$A$2:$A$403,1,1))+1)/('macs_ips'!$E$2:$E$403=$J$1),ROW(A408))),"")</f>
        <v/>
      </c>
      <c r="E410" s="40">
        <f>IFERROR(INDEX('macs_ips'!$E$2:$E$403,AGGREGATE(15,6,(ROW('macs_ips'!$A$2:$A$403)-ROW(INDEX('macs_ips'!$A$2:$A$403,1,1))+1)/('macs_ips'!$E$2:$E$403=$J$1),ROW(A408))),"")</f>
        <v/>
      </c>
      <c r="F410" s="41">
        <f>IFERROR(INDEX('macs_ips'!$F$2:$F$403,AGGREGATE(15,6,(ROW('macs_ips'!$A$2:$A$403)-ROW(INDEX('macs_ips'!$A$2:$A$403,1,1))+1)/('macs_ips'!$E$2:$E$403=$J$1),ROW(A408))),"")</f>
        <v/>
      </c>
      <c r="G410" s="40">
        <f>IFERROR(INDEX('macs_ips'!$G$2:$G$403,AGGREGATE(15,6,(ROW('macs_ips'!$A$2:$A$403)-ROW(INDEX('macs_ips'!$A$2:$A$403,1,1))+1)/('macs_ips'!$E$2:$E$403=$J$1),ROW(A408))),"")</f>
        <v/>
      </c>
    </row>
    <row r="411">
      <c r="A411" s="40">
        <f>IFERROR(INDEX('macs_ips'!$A$2:$A$403,AGGREGATE(15,6,(ROW('macs_ips'!$A$2:$A$403)-ROW(INDEX('macs_ips'!$A$2:$A$403,1,1))+1)/('macs_ips'!$E$2:$E$403=$J$1),ROW(A409))),"")</f>
        <v/>
      </c>
      <c r="B411" s="40">
        <f>IFERROR(INDEX('macs_ips'!$B$2:$B$403,AGGREGATE(15,6,(ROW('macs_ips'!$A$2:$A$403)-ROW(INDEX('macs_ips'!$A$2:$A$403,1,1))+1)/('macs_ips'!$E$2:$E$403=$J$1),ROW(A409))),"")</f>
        <v/>
      </c>
      <c r="C411" s="40">
        <f>IFERROR(INDEX('macs_ips'!$C$2:$C$403,AGGREGATE(15,6,(ROW('macs_ips'!$A$2:$A$403)-ROW(INDEX('macs_ips'!$A$2:$A$403,1,1))+1)/('macs_ips'!$E$2:$E$403=$J$1),ROW(A409))),"")</f>
        <v/>
      </c>
      <c r="D411" s="41">
        <f>IFERROR(INDEX('macs_ips'!$D$2:$D$403,AGGREGATE(15,6,(ROW('macs_ips'!$A$2:$A$403)-ROW(INDEX('macs_ips'!$A$2:$A$403,1,1))+1)/('macs_ips'!$E$2:$E$403=$J$1),ROW(A409))),"")</f>
        <v/>
      </c>
      <c r="E411" s="40">
        <f>IFERROR(INDEX('macs_ips'!$E$2:$E$403,AGGREGATE(15,6,(ROW('macs_ips'!$A$2:$A$403)-ROW(INDEX('macs_ips'!$A$2:$A$403,1,1))+1)/('macs_ips'!$E$2:$E$403=$J$1),ROW(A409))),"")</f>
        <v/>
      </c>
      <c r="F411" s="41">
        <f>IFERROR(INDEX('macs_ips'!$F$2:$F$403,AGGREGATE(15,6,(ROW('macs_ips'!$A$2:$A$403)-ROW(INDEX('macs_ips'!$A$2:$A$403,1,1))+1)/('macs_ips'!$E$2:$E$403=$J$1),ROW(A409))),"")</f>
        <v/>
      </c>
      <c r="G411" s="40">
        <f>IFERROR(INDEX('macs_ips'!$G$2:$G$403,AGGREGATE(15,6,(ROW('macs_ips'!$A$2:$A$403)-ROW(INDEX('macs_ips'!$A$2:$A$403,1,1))+1)/('macs_ips'!$E$2:$E$403=$J$1),ROW(A409))),"")</f>
        <v/>
      </c>
    </row>
    <row r="412">
      <c r="A412" s="40">
        <f>IFERROR(INDEX('macs_ips'!$A$2:$A$403,AGGREGATE(15,6,(ROW('macs_ips'!$A$2:$A$403)-ROW(INDEX('macs_ips'!$A$2:$A$403,1,1))+1)/('macs_ips'!$E$2:$E$403=$J$1),ROW(A410))),"")</f>
        <v/>
      </c>
      <c r="B412" s="40">
        <f>IFERROR(INDEX('macs_ips'!$B$2:$B$403,AGGREGATE(15,6,(ROW('macs_ips'!$A$2:$A$403)-ROW(INDEX('macs_ips'!$A$2:$A$403,1,1))+1)/('macs_ips'!$E$2:$E$403=$J$1),ROW(A410))),"")</f>
        <v/>
      </c>
      <c r="C412" s="40">
        <f>IFERROR(INDEX('macs_ips'!$C$2:$C$403,AGGREGATE(15,6,(ROW('macs_ips'!$A$2:$A$403)-ROW(INDEX('macs_ips'!$A$2:$A$403,1,1))+1)/('macs_ips'!$E$2:$E$403=$J$1),ROW(A410))),"")</f>
        <v/>
      </c>
      <c r="D412" s="41">
        <f>IFERROR(INDEX('macs_ips'!$D$2:$D$403,AGGREGATE(15,6,(ROW('macs_ips'!$A$2:$A$403)-ROW(INDEX('macs_ips'!$A$2:$A$403,1,1))+1)/('macs_ips'!$E$2:$E$403=$J$1),ROW(A410))),"")</f>
        <v/>
      </c>
      <c r="E412" s="40">
        <f>IFERROR(INDEX('macs_ips'!$E$2:$E$403,AGGREGATE(15,6,(ROW('macs_ips'!$A$2:$A$403)-ROW(INDEX('macs_ips'!$A$2:$A$403,1,1))+1)/('macs_ips'!$E$2:$E$403=$J$1),ROW(A410))),"")</f>
        <v/>
      </c>
      <c r="F412" s="41">
        <f>IFERROR(INDEX('macs_ips'!$F$2:$F$403,AGGREGATE(15,6,(ROW('macs_ips'!$A$2:$A$403)-ROW(INDEX('macs_ips'!$A$2:$A$403,1,1))+1)/('macs_ips'!$E$2:$E$403=$J$1),ROW(A410))),"")</f>
        <v/>
      </c>
      <c r="G412" s="40">
        <f>IFERROR(INDEX('macs_ips'!$G$2:$G$403,AGGREGATE(15,6,(ROW('macs_ips'!$A$2:$A$403)-ROW(INDEX('macs_ips'!$A$2:$A$403,1,1))+1)/('macs_ips'!$E$2:$E$403=$J$1),ROW(A410))),"")</f>
        <v/>
      </c>
    </row>
    <row r="413">
      <c r="A413" s="40">
        <f>IFERROR(INDEX('macs_ips'!$A$2:$A$403,AGGREGATE(15,6,(ROW('macs_ips'!$A$2:$A$403)-ROW(INDEX('macs_ips'!$A$2:$A$403,1,1))+1)/('macs_ips'!$E$2:$E$403=$J$1),ROW(A411))),"")</f>
        <v/>
      </c>
      <c r="B413" s="40">
        <f>IFERROR(INDEX('macs_ips'!$B$2:$B$403,AGGREGATE(15,6,(ROW('macs_ips'!$A$2:$A$403)-ROW(INDEX('macs_ips'!$A$2:$A$403,1,1))+1)/('macs_ips'!$E$2:$E$403=$J$1),ROW(A411))),"")</f>
        <v/>
      </c>
      <c r="C413" s="40">
        <f>IFERROR(INDEX('macs_ips'!$C$2:$C$403,AGGREGATE(15,6,(ROW('macs_ips'!$A$2:$A$403)-ROW(INDEX('macs_ips'!$A$2:$A$403,1,1))+1)/('macs_ips'!$E$2:$E$403=$J$1),ROW(A411))),"")</f>
        <v/>
      </c>
      <c r="D413" s="41">
        <f>IFERROR(INDEX('macs_ips'!$D$2:$D$403,AGGREGATE(15,6,(ROW('macs_ips'!$A$2:$A$403)-ROW(INDEX('macs_ips'!$A$2:$A$403,1,1))+1)/('macs_ips'!$E$2:$E$403=$J$1),ROW(A411))),"")</f>
        <v/>
      </c>
      <c r="E413" s="40">
        <f>IFERROR(INDEX('macs_ips'!$E$2:$E$403,AGGREGATE(15,6,(ROW('macs_ips'!$A$2:$A$403)-ROW(INDEX('macs_ips'!$A$2:$A$403,1,1))+1)/('macs_ips'!$E$2:$E$403=$J$1),ROW(A411))),"")</f>
        <v/>
      </c>
      <c r="F413" s="41">
        <f>IFERROR(INDEX('macs_ips'!$F$2:$F$403,AGGREGATE(15,6,(ROW('macs_ips'!$A$2:$A$403)-ROW(INDEX('macs_ips'!$A$2:$A$403,1,1))+1)/('macs_ips'!$E$2:$E$403=$J$1),ROW(A411))),"")</f>
        <v/>
      </c>
      <c r="G413" s="40">
        <f>IFERROR(INDEX('macs_ips'!$G$2:$G$403,AGGREGATE(15,6,(ROW('macs_ips'!$A$2:$A$403)-ROW(INDEX('macs_ips'!$A$2:$A$403,1,1))+1)/('macs_ips'!$E$2:$E$403=$J$1),ROW(A411))),"")</f>
        <v/>
      </c>
    </row>
    <row r="414">
      <c r="A414" s="40">
        <f>IFERROR(INDEX('macs_ips'!$A$2:$A$403,AGGREGATE(15,6,(ROW('macs_ips'!$A$2:$A$403)-ROW(INDEX('macs_ips'!$A$2:$A$403,1,1))+1)/('macs_ips'!$E$2:$E$403=$J$1),ROW(A412))),"")</f>
        <v/>
      </c>
      <c r="B414" s="40">
        <f>IFERROR(INDEX('macs_ips'!$B$2:$B$403,AGGREGATE(15,6,(ROW('macs_ips'!$A$2:$A$403)-ROW(INDEX('macs_ips'!$A$2:$A$403,1,1))+1)/('macs_ips'!$E$2:$E$403=$J$1),ROW(A412))),"")</f>
        <v/>
      </c>
      <c r="C414" s="40">
        <f>IFERROR(INDEX('macs_ips'!$C$2:$C$403,AGGREGATE(15,6,(ROW('macs_ips'!$A$2:$A$403)-ROW(INDEX('macs_ips'!$A$2:$A$403,1,1))+1)/('macs_ips'!$E$2:$E$403=$J$1),ROW(A412))),"")</f>
        <v/>
      </c>
      <c r="D414" s="41">
        <f>IFERROR(INDEX('macs_ips'!$D$2:$D$403,AGGREGATE(15,6,(ROW('macs_ips'!$A$2:$A$403)-ROW(INDEX('macs_ips'!$A$2:$A$403,1,1))+1)/('macs_ips'!$E$2:$E$403=$J$1),ROW(A412))),"")</f>
        <v/>
      </c>
      <c r="E414" s="40">
        <f>IFERROR(INDEX('macs_ips'!$E$2:$E$403,AGGREGATE(15,6,(ROW('macs_ips'!$A$2:$A$403)-ROW(INDEX('macs_ips'!$A$2:$A$403,1,1))+1)/('macs_ips'!$E$2:$E$403=$J$1),ROW(A412))),"")</f>
        <v/>
      </c>
      <c r="F414" s="41">
        <f>IFERROR(INDEX('macs_ips'!$F$2:$F$403,AGGREGATE(15,6,(ROW('macs_ips'!$A$2:$A$403)-ROW(INDEX('macs_ips'!$A$2:$A$403,1,1))+1)/('macs_ips'!$E$2:$E$403=$J$1),ROW(A412))),"")</f>
        <v/>
      </c>
      <c r="G414" s="40">
        <f>IFERROR(INDEX('macs_ips'!$G$2:$G$403,AGGREGATE(15,6,(ROW('macs_ips'!$A$2:$A$403)-ROW(INDEX('macs_ips'!$A$2:$A$403,1,1))+1)/('macs_ips'!$E$2:$E$403=$J$1),ROW(A412))),"")</f>
        <v/>
      </c>
    </row>
    <row r="415">
      <c r="A415" s="40">
        <f>IFERROR(INDEX('macs_ips'!$A$2:$A$403,AGGREGATE(15,6,(ROW('macs_ips'!$A$2:$A$403)-ROW(INDEX('macs_ips'!$A$2:$A$403,1,1))+1)/('macs_ips'!$E$2:$E$403=$J$1),ROW(A413))),"")</f>
        <v/>
      </c>
      <c r="B415" s="40">
        <f>IFERROR(INDEX('macs_ips'!$B$2:$B$403,AGGREGATE(15,6,(ROW('macs_ips'!$A$2:$A$403)-ROW(INDEX('macs_ips'!$A$2:$A$403,1,1))+1)/('macs_ips'!$E$2:$E$403=$J$1),ROW(A413))),"")</f>
        <v/>
      </c>
      <c r="C415" s="40">
        <f>IFERROR(INDEX('macs_ips'!$C$2:$C$403,AGGREGATE(15,6,(ROW('macs_ips'!$A$2:$A$403)-ROW(INDEX('macs_ips'!$A$2:$A$403,1,1))+1)/('macs_ips'!$E$2:$E$403=$J$1),ROW(A413))),"")</f>
        <v/>
      </c>
      <c r="D415" s="41">
        <f>IFERROR(INDEX('macs_ips'!$D$2:$D$403,AGGREGATE(15,6,(ROW('macs_ips'!$A$2:$A$403)-ROW(INDEX('macs_ips'!$A$2:$A$403,1,1))+1)/('macs_ips'!$E$2:$E$403=$J$1),ROW(A413))),"")</f>
        <v/>
      </c>
      <c r="E415" s="40">
        <f>IFERROR(INDEX('macs_ips'!$E$2:$E$403,AGGREGATE(15,6,(ROW('macs_ips'!$A$2:$A$403)-ROW(INDEX('macs_ips'!$A$2:$A$403,1,1))+1)/('macs_ips'!$E$2:$E$403=$J$1),ROW(A413))),"")</f>
        <v/>
      </c>
      <c r="F415" s="41">
        <f>IFERROR(INDEX('macs_ips'!$F$2:$F$403,AGGREGATE(15,6,(ROW('macs_ips'!$A$2:$A$403)-ROW(INDEX('macs_ips'!$A$2:$A$403,1,1))+1)/('macs_ips'!$E$2:$E$403=$J$1),ROW(A413))),"")</f>
        <v/>
      </c>
      <c r="G415" s="40">
        <f>IFERROR(INDEX('macs_ips'!$G$2:$G$403,AGGREGATE(15,6,(ROW('macs_ips'!$A$2:$A$403)-ROW(INDEX('macs_ips'!$A$2:$A$403,1,1))+1)/('macs_ips'!$E$2:$E$403=$J$1),ROW(A413))),"")</f>
        <v/>
      </c>
    </row>
    <row r="416">
      <c r="A416" s="40">
        <f>IFERROR(INDEX('macs_ips'!$A$2:$A$403,AGGREGATE(15,6,(ROW('macs_ips'!$A$2:$A$403)-ROW(INDEX('macs_ips'!$A$2:$A$403,1,1))+1)/('macs_ips'!$E$2:$E$403=$J$1),ROW(A414))),"")</f>
        <v/>
      </c>
      <c r="B416" s="40">
        <f>IFERROR(INDEX('macs_ips'!$B$2:$B$403,AGGREGATE(15,6,(ROW('macs_ips'!$A$2:$A$403)-ROW(INDEX('macs_ips'!$A$2:$A$403,1,1))+1)/('macs_ips'!$E$2:$E$403=$J$1),ROW(A414))),"")</f>
        <v/>
      </c>
      <c r="C416" s="40">
        <f>IFERROR(INDEX('macs_ips'!$C$2:$C$403,AGGREGATE(15,6,(ROW('macs_ips'!$A$2:$A$403)-ROW(INDEX('macs_ips'!$A$2:$A$403,1,1))+1)/('macs_ips'!$E$2:$E$403=$J$1),ROW(A414))),"")</f>
        <v/>
      </c>
      <c r="D416" s="41">
        <f>IFERROR(INDEX('macs_ips'!$D$2:$D$403,AGGREGATE(15,6,(ROW('macs_ips'!$A$2:$A$403)-ROW(INDEX('macs_ips'!$A$2:$A$403,1,1))+1)/('macs_ips'!$E$2:$E$403=$J$1),ROW(A414))),"")</f>
        <v/>
      </c>
      <c r="E416" s="40">
        <f>IFERROR(INDEX('macs_ips'!$E$2:$E$403,AGGREGATE(15,6,(ROW('macs_ips'!$A$2:$A$403)-ROW(INDEX('macs_ips'!$A$2:$A$403,1,1))+1)/('macs_ips'!$E$2:$E$403=$J$1),ROW(A414))),"")</f>
        <v/>
      </c>
      <c r="F416" s="41">
        <f>IFERROR(INDEX('macs_ips'!$F$2:$F$403,AGGREGATE(15,6,(ROW('macs_ips'!$A$2:$A$403)-ROW(INDEX('macs_ips'!$A$2:$A$403,1,1))+1)/('macs_ips'!$E$2:$E$403=$J$1),ROW(A414))),"")</f>
        <v/>
      </c>
      <c r="G416" s="40">
        <f>IFERROR(INDEX('macs_ips'!$G$2:$G$403,AGGREGATE(15,6,(ROW('macs_ips'!$A$2:$A$403)-ROW(INDEX('macs_ips'!$A$2:$A$403,1,1))+1)/('macs_ips'!$E$2:$E$403=$J$1),ROW(A414))),"")</f>
        <v/>
      </c>
    </row>
    <row r="417">
      <c r="A417" s="40">
        <f>IFERROR(INDEX('macs_ips'!$A$2:$A$403,AGGREGATE(15,6,(ROW('macs_ips'!$A$2:$A$403)-ROW(INDEX('macs_ips'!$A$2:$A$403,1,1))+1)/('macs_ips'!$E$2:$E$403=$J$1),ROW(A415))),"")</f>
        <v/>
      </c>
      <c r="B417" s="40">
        <f>IFERROR(INDEX('macs_ips'!$B$2:$B$403,AGGREGATE(15,6,(ROW('macs_ips'!$A$2:$A$403)-ROW(INDEX('macs_ips'!$A$2:$A$403,1,1))+1)/('macs_ips'!$E$2:$E$403=$J$1),ROW(A415))),"")</f>
        <v/>
      </c>
      <c r="C417" s="40">
        <f>IFERROR(INDEX('macs_ips'!$C$2:$C$403,AGGREGATE(15,6,(ROW('macs_ips'!$A$2:$A$403)-ROW(INDEX('macs_ips'!$A$2:$A$403,1,1))+1)/('macs_ips'!$E$2:$E$403=$J$1),ROW(A415))),"")</f>
        <v/>
      </c>
      <c r="D417" s="41">
        <f>IFERROR(INDEX('macs_ips'!$D$2:$D$403,AGGREGATE(15,6,(ROW('macs_ips'!$A$2:$A$403)-ROW(INDEX('macs_ips'!$A$2:$A$403,1,1))+1)/('macs_ips'!$E$2:$E$403=$J$1),ROW(A415))),"")</f>
        <v/>
      </c>
      <c r="E417" s="40">
        <f>IFERROR(INDEX('macs_ips'!$E$2:$E$403,AGGREGATE(15,6,(ROW('macs_ips'!$A$2:$A$403)-ROW(INDEX('macs_ips'!$A$2:$A$403,1,1))+1)/('macs_ips'!$E$2:$E$403=$J$1),ROW(A415))),"")</f>
        <v/>
      </c>
      <c r="F417" s="41">
        <f>IFERROR(INDEX('macs_ips'!$F$2:$F$403,AGGREGATE(15,6,(ROW('macs_ips'!$A$2:$A$403)-ROW(INDEX('macs_ips'!$A$2:$A$403,1,1))+1)/('macs_ips'!$E$2:$E$403=$J$1),ROW(A415))),"")</f>
        <v/>
      </c>
      <c r="G417" s="40">
        <f>IFERROR(INDEX('macs_ips'!$G$2:$G$403,AGGREGATE(15,6,(ROW('macs_ips'!$A$2:$A$403)-ROW(INDEX('macs_ips'!$A$2:$A$403,1,1))+1)/('macs_ips'!$E$2:$E$403=$J$1),ROW(A415))),"")</f>
        <v/>
      </c>
    </row>
    <row r="418">
      <c r="A418" s="40">
        <f>IFERROR(INDEX('macs_ips'!$A$2:$A$403,AGGREGATE(15,6,(ROW('macs_ips'!$A$2:$A$403)-ROW(INDEX('macs_ips'!$A$2:$A$403,1,1))+1)/('macs_ips'!$E$2:$E$403=$J$1),ROW(A416))),"")</f>
        <v/>
      </c>
      <c r="B418" s="40">
        <f>IFERROR(INDEX('macs_ips'!$B$2:$B$403,AGGREGATE(15,6,(ROW('macs_ips'!$A$2:$A$403)-ROW(INDEX('macs_ips'!$A$2:$A$403,1,1))+1)/('macs_ips'!$E$2:$E$403=$J$1),ROW(A416))),"")</f>
        <v/>
      </c>
      <c r="C418" s="40">
        <f>IFERROR(INDEX('macs_ips'!$C$2:$C$403,AGGREGATE(15,6,(ROW('macs_ips'!$A$2:$A$403)-ROW(INDEX('macs_ips'!$A$2:$A$403,1,1))+1)/('macs_ips'!$E$2:$E$403=$J$1),ROW(A416))),"")</f>
        <v/>
      </c>
      <c r="D418" s="41">
        <f>IFERROR(INDEX('macs_ips'!$D$2:$D$403,AGGREGATE(15,6,(ROW('macs_ips'!$A$2:$A$403)-ROW(INDEX('macs_ips'!$A$2:$A$403,1,1))+1)/('macs_ips'!$E$2:$E$403=$J$1),ROW(A416))),"")</f>
        <v/>
      </c>
      <c r="E418" s="40">
        <f>IFERROR(INDEX('macs_ips'!$E$2:$E$403,AGGREGATE(15,6,(ROW('macs_ips'!$A$2:$A$403)-ROW(INDEX('macs_ips'!$A$2:$A$403,1,1))+1)/('macs_ips'!$E$2:$E$403=$J$1),ROW(A416))),"")</f>
        <v/>
      </c>
      <c r="F418" s="41">
        <f>IFERROR(INDEX('macs_ips'!$F$2:$F$403,AGGREGATE(15,6,(ROW('macs_ips'!$A$2:$A$403)-ROW(INDEX('macs_ips'!$A$2:$A$403,1,1))+1)/('macs_ips'!$E$2:$E$403=$J$1),ROW(A416))),"")</f>
        <v/>
      </c>
      <c r="G418" s="40">
        <f>IFERROR(INDEX('macs_ips'!$G$2:$G$403,AGGREGATE(15,6,(ROW('macs_ips'!$A$2:$A$403)-ROW(INDEX('macs_ips'!$A$2:$A$403,1,1))+1)/('macs_ips'!$E$2:$E$403=$J$1),ROW(A416))),"")</f>
        <v/>
      </c>
    </row>
    <row r="419">
      <c r="A419" s="40">
        <f>IFERROR(INDEX('macs_ips'!$A$2:$A$403,AGGREGATE(15,6,(ROW('macs_ips'!$A$2:$A$403)-ROW(INDEX('macs_ips'!$A$2:$A$403,1,1))+1)/('macs_ips'!$E$2:$E$403=$J$1),ROW(A417))),"")</f>
        <v/>
      </c>
      <c r="B419" s="40">
        <f>IFERROR(INDEX('macs_ips'!$B$2:$B$403,AGGREGATE(15,6,(ROW('macs_ips'!$A$2:$A$403)-ROW(INDEX('macs_ips'!$A$2:$A$403,1,1))+1)/('macs_ips'!$E$2:$E$403=$J$1),ROW(A417))),"")</f>
        <v/>
      </c>
      <c r="C419" s="40">
        <f>IFERROR(INDEX('macs_ips'!$C$2:$C$403,AGGREGATE(15,6,(ROW('macs_ips'!$A$2:$A$403)-ROW(INDEX('macs_ips'!$A$2:$A$403,1,1))+1)/('macs_ips'!$E$2:$E$403=$J$1),ROW(A417))),"")</f>
        <v/>
      </c>
      <c r="D419" s="41">
        <f>IFERROR(INDEX('macs_ips'!$D$2:$D$403,AGGREGATE(15,6,(ROW('macs_ips'!$A$2:$A$403)-ROW(INDEX('macs_ips'!$A$2:$A$403,1,1))+1)/('macs_ips'!$E$2:$E$403=$J$1),ROW(A417))),"")</f>
        <v/>
      </c>
      <c r="E419" s="40">
        <f>IFERROR(INDEX('macs_ips'!$E$2:$E$403,AGGREGATE(15,6,(ROW('macs_ips'!$A$2:$A$403)-ROW(INDEX('macs_ips'!$A$2:$A$403,1,1))+1)/('macs_ips'!$E$2:$E$403=$J$1),ROW(A417))),"")</f>
        <v/>
      </c>
      <c r="F419" s="41">
        <f>IFERROR(INDEX('macs_ips'!$F$2:$F$403,AGGREGATE(15,6,(ROW('macs_ips'!$A$2:$A$403)-ROW(INDEX('macs_ips'!$A$2:$A$403,1,1))+1)/('macs_ips'!$E$2:$E$403=$J$1),ROW(A417))),"")</f>
        <v/>
      </c>
      <c r="G419" s="40">
        <f>IFERROR(INDEX('macs_ips'!$G$2:$G$403,AGGREGATE(15,6,(ROW('macs_ips'!$A$2:$A$403)-ROW(INDEX('macs_ips'!$A$2:$A$403,1,1))+1)/('macs_ips'!$E$2:$E$403=$J$1),ROW(A417))),"")</f>
        <v/>
      </c>
    </row>
    <row r="420">
      <c r="A420" s="40">
        <f>IFERROR(INDEX('macs_ips'!$A$2:$A$403,AGGREGATE(15,6,(ROW('macs_ips'!$A$2:$A$403)-ROW(INDEX('macs_ips'!$A$2:$A$403,1,1))+1)/('macs_ips'!$E$2:$E$403=$J$1),ROW(A418))),"")</f>
        <v/>
      </c>
      <c r="B420" s="40">
        <f>IFERROR(INDEX('macs_ips'!$B$2:$B$403,AGGREGATE(15,6,(ROW('macs_ips'!$A$2:$A$403)-ROW(INDEX('macs_ips'!$A$2:$A$403,1,1))+1)/('macs_ips'!$E$2:$E$403=$J$1),ROW(A418))),"")</f>
        <v/>
      </c>
      <c r="C420" s="40">
        <f>IFERROR(INDEX('macs_ips'!$C$2:$C$403,AGGREGATE(15,6,(ROW('macs_ips'!$A$2:$A$403)-ROW(INDEX('macs_ips'!$A$2:$A$403,1,1))+1)/('macs_ips'!$E$2:$E$403=$J$1),ROW(A418))),"")</f>
        <v/>
      </c>
      <c r="D420" s="41">
        <f>IFERROR(INDEX('macs_ips'!$D$2:$D$403,AGGREGATE(15,6,(ROW('macs_ips'!$A$2:$A$403)-ROW(INDEX('macs_ips'!$A$2:$A$403,1,1))+1)/('macs_ips'!$E$2:$E$403=$J$1),ROW(A418))),"")</f>
        <v/>
      </c>
      <c r="E420" s="40">
        <f>IFERROR(INDEX('macs_ips'!$E$2:$E$403,AGGREGATE(15,6,(ROW('macs_ips'!$A$2:$A$403)-ROW(INDEX('macs_ips'!$A$2:$A$403,1,1))+1)/('macs_ips'!$E$2:$E$403=$J$1),ROW(A418))),"")</f>
        <v/>
      </c>
      <c r="F420" s="41">
        <f>IFERROR(INDEX('macs_ips'!$F$2:$F$403,AGGREGATE(15,6,(ROW('macs_ips'!$A$2:$A$403)-ROW(INDEX('macs_ips'!$A$2:$A$403,1,1))+1)/('macs_ips'!$E$2:$E$403=$J$1),ROW(A418))),"")</f>
        <v/>
      </c>
      <c r="G420" s="40">
        <f>IFERROR(INDEX('macs_ips'!$G$2:$G$403,AGGREGATE(15,6,(ROW('macs_ips'!$A$2:$A$403)-ROW(INDEX('macs_ips'!$A$2:$A$403,1,1))+1)/('macs_ips'!$E$2:$E$403=$J$1),ROW(A418))),"")</f>
        <v/>
      </c>
    </row>
    <row r="421">
      <c r="A421" s="40">
        <f>IFERROR(INDEX('macs_ips'!$A$2:$A$403,AGGREGATE(15,6,(ROW('macs_ips'!$A$2:$A$403)-ROW(INDEX('macs_ips'!$A$2:$A$403,1,1))+1)/('macs_ips'!$E$2:$E$403=$J$1),ROW(A419))),"")</f>
        <v/>
      </c>
      <c r="B421" s="40">
        <f>IFERROR(INDEX('macs_ips'!$B$2:$B$403,AGGREGATE(15,6,(ROW('macs_ips'!$A$2:$A$403)-ROW(INDEX('macs_ips'!$A$2:$A$403,1,1))+1)/('macs_ips'!$E$2:$E$403=$J$1),ROW(A419))),"")</f>
        <v/>
      </c>
      <c r="C421" s="40">
        <f>IFERROR(INDEX('macs_ips'!$C$2:$C$403,AGGREGATE(15,6,(ROW('macs_ips'!$A$2:$A$403)-ROW(INDEX('macs_ips'!$A$2:$A$403,1,1))+1)/('macs_ips'!$E$2:$E$403=$J$1),ROW(A419))),"")</f>
        <v/>
      </c>
      <c r="D421" s="41">
        <f>IFERROR(INDEX('macs_ips'!$D$2:$D$403,AGGREGATE(15,6,(ROW('macs_ips'!$A$2:$A$403)-ROW(INDEX('macs_ips'!$A$2:$A$403,1,1))+1)/('macs_ips'!$E$2:$E$403=$J$1),ROW(A419))),"")</f>
        <v/>
      </c>
      <c r="E421" s="40">
        <f>IFERROR(INDEX('macs_ips'!$E$2:$E$403,AGGREGATE(15,6,(ROW('macs_ips'!$A$2:$A$403)-ROW(INDEX('macs_ips'!$A$2:$A$403,1,1))+1)/('macs_ips'!$E$2:$E$403=$J$1),ROW(A419))),"")</f>
        <v/>
      </c>
      <c r="F421" s="41">
        <f>IFERROR(INDEX('macs_ips'!$F$2:$F$403,AGGREGATE(15,6,(ROW('macs_ips'!$A$2:$A$403)-ROW(INDEX('macs_ips'!$A$2:$A$403,1,1))+1)/('macs_ips'!$E$2:$E$403=$J$1),ROW(A419))),"")</f>
        <v/>
      </c>
      <c r="G421" s="40">
        <f>IFERROR(INDEX('macs_ips'!$G$2:$G$403,AGGREGATE(15,6,(ROW('macs_ips'!$A$2:$A$403)-ROW(INDEX('macs_ips'!$A$2:$A$403,1,1))+1)/('macs_ips'!$E$2:$E$403=$J$1),ROW(A419))),"")</f>
        <v/>
      </c>
    </row>
    <row r="422">
      <c r="A422" s="40">
        <f>IFERROR(INDEX('macs_ips'!$A$2:$A$403,AGGREGATE(15,6,(ROW('macs_ips'!$A$2:$A$403)-ROW(INDEX('macs_ips'!$A$2:$A$403,1,1))+1)/('macs_ips'!$E$2:$E$403=$J$1),ROW(A420))),"")</f>
        <v/>
      </c>
      <c r="B422" s="40">
        <f>IFERROR(INDEX('macs_ips'!$B$2:$B$403,AGGREGATE(15,6,(ROW('macs_ips'!$A$2:$A$403)-ROW(INDEX('macs_ips'!$A$2:$A$403,1,1))+1)/('macs_ips'!$E$2:$E$403=$J$1),ROW(A420))),"")</f>
        <v/>
      </c>
      <c r="C422" s="40">
        <f>IFERROR(INDEX('macs_ips'!$C$2:$C$403,AGGREGATE(15,6,(ROW('macs_ips'!$A$2:$A$403)-ROW(INDEX('macs_ips'!$A$2:$A$403,1,1))+1)/('macs_ips'!$E$2:$E$403=$J$1),ROW(A420))),"")</f>
        <v/>
      </c>
      <c r="D422" s="41">
        <f>IFERROR(INDEX('macs_ips'!$D$2:$D$403,AGGREGATE(15,6,(ROW('macs_ips'!$A$2:$A$403)-ROW(INDEX('macs_ips'!$A$2:$A$403,1,1))+1)/('macs_ips'!$E$2:$E$403=$J$1),ROW(A420))),"")</f>
        <v/>
      </c>
      <c r="E422" s="40">
        <f>IFERROR(INDEX('macs_ips'!$E$2:$E$403,AGGREGATE(15,6,(ROW('macs_ips'!$A$2:$A$403)-ROW(INDEX('macs_ips'!$A$2:$A$403,1,1))+1)/('macs_ips'!$E$2:$E$403=$J$1),ROW(A420))),"")</f>
        <v/>
      </c>
      <c r="F422" s="41">
        <f>IFERROR(INDEX('macs_ips'!$F$2:$F$403,AGGREGATE(15,6,(ROW('macs_ips'!$A$2:$A$403)-ROW(INDEX('macs_ips'!$A$2:$A$403,1,1))+1)/('macs_ips'!$E$2:$E$403=$J$1),ROW(A420))),"")</f>
        <v/>
      </c>
      <c r="G422" s="40">
        <f>IFERROR(INDEX('macs_ips'!$G$2:$G$403,AGGREGATE(15,6,(ROW('macs_ips'!$A$2:$A$403)-ROW(INDEX('macs_ips'!$A$2:$A$403,1,1))+1)/('macs_ips'!$E$2:$E$403=$J$1),ROW(A420))),"")</f>
        <v/>
      </c>
    </row>
    <row r="423">
      <c r="A423" s="40">
        <f>IFERROR(INDEX('macs_ips'!$A$2:$A$403,AGGREGATE(15,6,(ROW('macs_ips'!$A$2:$A$403)-ROW(INDEX('macs_ips'!$A$2:$A$403,1,1))+1)/('macs_ips'!$E$2:$E$403=$J$1),ROW(A421))),"")</f>
        <v/>
      </c>
      <c r="B423" s="40">
        <f>IFERROR(INDEX('macs_ips'!$B$2:$B$403,AGGREGATE(15,6,(ROW('macs_ips'!$A$2:$A$403)-ROW(INDEX('macs_ips'!$A$2:$A$403,1,1))+1)/('macs_ips'!$E$2:$E$403=$J$1),ROW(A421))),"")</f>
        <v/>
      </c>
      <c r="C423" s="40">
        <f>IFERROR(INDEX('macs_ips'!$C$2:$C$403,AGGREGATE(15,6,(ROW('macs_ips'!$A$2:$A$403)-ROW(INDEX('macs_ips'!$A$2:$A$403,1,1))+1)/('macs_ips'!$E$2:$E$403=$J$1),ROW(A421))),"")</f>
        <v/>
      </c>
      <c r="D423" s="41">
        <f>IFERROR(INDEX('macs_ips'!$D$2:$D$403,AGGREGATE(15,6,(ROW('macs_ips'!$A$2:$A$403)-ROW(INDEX('macs_ips'!$A$2:$A$403,1,1))+1)/('macs_ips'!$E$2:$E$403=$J$1),ROW(A421))),"")</f>
        <v/>
      </c>
      <c r="E423" s="40">
        <f>IFERROR(INDEX('macs_ips'!$E$2:$E$403,AGGREGATE(15,6,(ROW('macs_ips'!$A$2:$A$403)-ROW(INDEX('macs_ips'!$A$2:$A$403,1,1))+1)/('macs_ips'!$E$2:$E$403=$J$1),ROW(A421))),"")</f>
        <v/>
      </c>
      <c r="F423" s="41">
        <f>IFERROR(INDEX('macs_ips'!$F$2:$F$403,AGGREGATE(15,6,(ROW('macs_ips'!$A$2:$A$403)-ROW(INDEX('macs_ips'!$A$2:$A$403,1,1))+1)/('macs_ips'!$E$2:$E$403=$J$1),ROW(A421))),"")</f>
        <v/>
      </c>
      <c r="G423" s="40">
        <f>IFERROR(INDEX('macs_ips'!$G$2:$G$403,AGGREGATE(15,6,(ROW('macs_ips'!$A$2:$A$403)-ROW(INDEX('macs_ips'!$A$2:$A$403,1,1))+1)/('macs_ips'!$E$2:$E$403=$J$1),ROW(A421))),"")</f>
        <v/>
      </c>
    </row>
    <row r="424">
      <c r="A424" s="40">
        <f>IFERROR(INDEX('macs_ips'!$A$2:$A$403,AGGREGATE(15,6,(ROW('macs_ips'!$A$2:$A$403)-ROW(INDEX('macs_ips'!$A$2:$A$403,1,1))+1)/('macs_ips'!$E$2:$E$403=$J$1),ROW(A422))),"")</f>
        <v/>
      </c>
      <c r="B424" s="40">
        <f>IFERROR(INDEX('macs_ips'!$B$2:$B$403,AGGREGATE(15,6,(ROW('macs_ips'!$A$2:$A$403)-ROW(INDEX('macs_ips'!$A$2:$A$403,1,1))+1)/('macs_ips'!$E$2:$E$403=$J$1),ROW(A422))),"")</f>
        <v/>
      </c>
      <c r="C424" s="40">
        <f>IFERROR(INDEX('macs_ips'!$C$2:$C$403,AGGREGATE(15,6,(ROW('macs_ips'!$A$2:$A$403)-ROW(INDEX('macs_ips'!$A$2:$A$403,1,1))+1)/('macs_ips'!$E$2:$E$403=$J$1),ROW(A422))),"")</f>
        <v/>
      </c>
      <c r="D424" s="41">
        <f>IFERROR(INDEX('macs_ips'!$D$2:$D$403,AGGREGATE(15,6,(ROW('macs_ips'!$A$2:$A$403)-ROW(INDEX('macs_ips'!$A$2:$A$403,1,1))+1)/('macs_ips'!$E$2:$E$403=$J$1),ROW(A422))),"")</f>
        <v/>
      </c>
      <c r="E424" s="40">
        <f>IFERROR(INDEX('macs_ips'!$E$2:$E$403,AGGREGATE(15,6,(ROW('macs_ips'!$A$2:$A$403)-ROW(INDEX('macs_ips'!$A$2:$A$403,1,1))+1)/('macs_ips'!$E$2:$E$403=$J$1),ROW(A422))),"")</f>
        <v/>
      </c>
      <c r="F424" s="41">
        <f>IFERROR(INDEX('macs_ips'!$F$2:$F$403,AGGREGATE(15,6,(ROW('macs_ips'!$A$2:$A$403)-ROW(INDEX('macs_ips'!$A$2:$A$403,1,1))+1)/('macs_ips'!$E$2:$E$403=$J$1),ROW(A422))),"")</f>
        <v/>
      </c>
      <c r="G424" s="40">
        <f>IFERROR(INDEX('macs_ips'!$G$2:$G$403,AGGREGATE(15,6,(ROW('macs_ips'!$A$2:$A$403)-ROW(INDEX('macs_ips'!$A$2:$A$403,1,1))+1)/('macs_ips'!$E$2:$E$403=$J$1),ROW(A422))),"")</f>
        <v/>
      </c>
    </row>
    <row r="425">
      <c r="A425" s="40">
        <f>IFERROR(INDEX('macs_ips'!$A$2:$A$403,AGGREGATE(15,6,(ROW('macs_ips'!$A$2:$A$403)-ROW(INDEX('macs_ips'!$A$2:$A$403,1,1))+1)/('macs_ips'!$E$2:$E$403=$J$1),ROW(A423))),"")</f>
        <v/>
      </c>
      <c r="B425" s="40">
        <f>IFERROR(INDEX('macs_ips'!$B$2:$B$403,AGGREGATE(15,6,(ROW('macs_ips'!$A$2:$A$403)-ROW(INDEX('macs_ips'!$A$2:$A$403,1,1))+1)/('macs_ips'!$E$2:$E$403=$J$1),ROW(A423))),"")</f>
        <v/>
      </c>
      <c r="C425" s="40">
        <f>IFERROR(INDEX('macs_ips'!$C$2:$C$403,AGGREGATE(15,6,(ROW('macs_ips'!$A$2:$A$403)-ROW(INDEX('macs_ips'!$A$2:$A$403,1,1))+1)/('macs_ips'!$E$2:$E$403=$J$1),ROW(A423))),"")</f>
        <v/>
      </c>
      <c r="D425" s="41">
        <f>IFERROR(INDEX('macs_ips'!$D$2:$D$403,AGGREGATE(15,6,(ROW('macs_ips'!$A$2:$A$403)-ROW(INDEX('macs_ips'!$A$2:$A$403,1,1))+1)/('macs_ips'!$E$2:$E$403=$J$1),ROW(A423))),"")</f>
        <v/>
      </c>
      <c r="E425" s="40">
        <f>IFERROR(INDEX('macs_ips'!$E$2:$E$403,AGGREGATE(15,6,(ROW('macs_ips'!$A$2:$A$403)-ROW(INDEX('macs_ips'!$A$2:$A$403,1,1))+1)/('macs_ips'!$E$2:$E$403=$J$1),ROW(A423))),"")</f>
        <v/>
      </c>
      <c r="F425" s="41">
        <f>IFERROR(INDEX('macs_ips'!$F$2:$F$403,AGGREGATE(15,6,(ROW('macs_ips'!$A$2:$A$403)-ROW(INDEX('macs_ips'!$A$2:$A$403,1,1))+1)/('macs_ips'!$E$2:$E$403=$J$1),ROW(A423))),"")</f>
        <v/>
      </c>
      <c r="G425" s="40">
        <f>IFERROR(INDEX('macs_ips'!$G$2:$G$403,AGGREGATE(15,6,(ROW('macs_ips'!$A$2:$A$403)-ROW(INDEX('macs_ips'!$A$2:$A$403,1,1))+1)/('macs_ips'!$E$2:$E$403=$J$1),ROW(A423))),"")</f>
        <v/>
      </c>
    </row>
    <row r="426">
      <c r="A426" s="40">
        <f>IFERROR(INDEX('macs_ips'!$A$2:$A$403,AGGREGATE(15,6,(ROW('macs_ips'!$A$2:$A$403)-ROW(INDEX('macs_ips'!$A$2:$A$403,1,1))+1)/('macs_ips'!$E$2:$E$403=$J$1),ROW(A424))),"")</f>
        <v/>
      </c>
      <c r="B426" s="40">
        <f>IFERROR(INDEX('macs_ips'!$B$2:$B$403,AGGREGATE(15,6,(ROW('macs_ips'!$A$2:$A$403)-ROW(INDEX('macs_ips'!$A$2:$A$403,1,1))+1)/('macs_ips'!$E$2:$E$403=$J$1),ROW(A424))),"")</f>
        <v/>
      </c>
      <c r="C426" s="40">
        <f>IFERROR(INDEX('macs_ips'!$C$2:$C$403,AGGREGATE(15,6,(ROW('macs_ips'!$A$2:$A$403)-ROW(INDEX('macs_ips'!$A$2:$A$403,1,1))+1)/('macs_ips'!$E$2:$E$403=$J$1),ROW(A424))),"")</f>
        <v/>
      </c>
      <c r="D426" s="41">
        <f>IFERROR(INDEX('macs_ips'!$D$2:$D$403,AGGREGATE(15,6,(ROW('macs_ips'!$A$2:$A$403)-ROW(INDEX('macs_ips'!$A$2:$A$403,1,1))+1)/('macs_ips'!$E$2:$E$403=$J$1),ROW(A424))),"")</f>
        <v/>
      </c>
      <c r="E426" s="40">
        <f>IFERROR(INDEX('macs_ips'!$E$2:$E$403,AGGREGATE(15,6,(ROW('macs_ips'!$A$2:$A$403)-ROW(INDEX('macs_ips'!$A$2:$A$403,1,1))+1)/('macs_ips'!$E$2:$E$403=$J$1),ROW(A424))),"")</f>
        <v/>
      </c>
      <c r="F426" s="41">
        <f>IFERROR(INDEX('macs_ips'!$F$2:$F$403,AGGREGATE(15,6,(ROW('macs_ips'!$A$2:$A$403)-ROW(INDEX('macs_ips'!$A$2:$A$403,1,1))+1)/('macs_ips'!$E$2:$E$403=$J$1),ROW(A424))),"")</f>
        <v/>
      </c>
      <c r="G426" s="40">
        <f>IFERROR(INDEX('macs_ips'!$G$2:$G$403,AGGREGATE(15,6,(ROW('macs_ips'!$A$2:$A$403)-ROW(INDEX('macs_ips'!$A$2:$A$403,1,1))+1)/('macs_ips'!$E$2:$E$403=$J$1),ROW(A424))),"")</f>
        <v/>
      </c>
    </row>
    <row r="427">
      <c r="A427" s="40">
        <f>IFERROR(INDEX('macs_ips'!$A$2:$A$403,AGGREGATE(15,6,(ROW('macs_ips'!$A$2:$A$403)-ROW(INDEX('macs_ips'!$A$2:$A$403,1,1))+1)/('macs_ips'!$E$2:$E$403=$J$1),ROW(A425))),"")</f>
        <v/>
      </c>
      <c r="B427" s="40">
        <f>IFERROR(INDEX('macs_ips'!$B$2:$B$403,AGGREGATE(15,6,(ROW('macs_ips'!$A$2:$A$403)-ROW(INDEX('macs_ips'!$A$2:$A$403,1,1))+1)/('macs_ips'!$E$2:$E$403=$J$1),ROW(A425))),"")</f>
        <v/>
      </c>
      <c r="C427" s="40">
        <f>IFERROR(INDEX('macs_ips'!$C$2:$C$403,AGGREGATE(15,6,(ROW('macs_ips'!$A$2:$A$403)-ROW(INDEX('macs_ips'!$A$2:$A$403,1,1))+1)/('macs_ips'!$E$2:$E$403=$J$1),ROW(A425))),"")</f>
        <v/>
      </c>
      <c r="D427" s="41">
        <f>IFERROR(INDEX('macs_ips'!$D$2:$D$403,AGGREGATE(15,6,(ROW('macs_ips'!$A$2:$A$403)-ROW(INDEX('macs_ips'!$A$2:$A$403,1,1))+1)/('macs_ips'!$E$2:$E$403=$J$1),ROW(A425))),"")</f>
        <v/>
      </c>
      <c r="E427" s="40">
        <f>IFERROR(INDEX('macs_ips'!$E$2:$E$403,AGGREGATE(15,6,(ROW('macs_ips'!$A$2:$A$403)-ROW(INDEX('macs_ips'!$A$2:$A$403,1,1))+1)/('macs_ips'!$E$2:$E$403=$J$1),ROW(A425))),"")</f>
        <v/>
      </c>
      <c r="F427" s="41">
        <f>IFERROR(INDEX('macs_ips'!$F$2:$F$403,AGGREGATE(15,6,(ROW('macs_ips'!$A$2:$A$403)-ROW(INDEX('macs_ips'!$A$2:$A$403,1,1))+1)/('macs_ips'!$E$2:$E$403=$J$1),ROW(A425))),"")</f>
        <v/>
      </c>
      <c r="G427" s="40">
        <f>IFERROR(INDEX('macs_ips'!$G$2:$G$403,AGGREGATE(15,6,(ROW('macs_ips'!$A$2:$A$403)-ROW(INDEX('macs_ips'!$A$2:$A$403,1,1))+1)/('macs_ips'!$E$2:$E$403=$J$1),ROW(A425))),"")</f>
        <v/>
      </c>
    </row>
    <row r="428">
      <c r="A428" s="40">
        <f>IFERROR(INDEX('macs_ips'!$A$2:$A$403,AGGREGATE(15,6,(ROW('macs_ips'!$A$2:$A$403)-ROW(INDEX('macs_ips'!$A$2:$A$403,1,1))+1)/('macs_ips'!$E$2:$E$403=$J$1),ROW(A426))),"")</f>
        <v/>
      </c>
      <c r="B428" s="40">
        <f>IFERROR(INDEX('macs_ips'!$B$2:$B$403,AGGREGATE(15,6,(ROW('macs_ips'!$A$2:$A$403)-ROW(INDEX('macs_ips'!$A$2:$A$403,1,1))+1)/('macs_ips'!$E$2:$E$403=$J$1),ROW(A426))),"")</f>
        <v/>
      </c>
      <c r="C428" s="40">
        <f>IFERROR(INDEX('macs_ips'!$C$2:$C$403,AGGREGATE(15,6,(ROW('macs_ips'!$A$2:$A$403)-ROW(INDEX('macs_ips'!$A$2:$A$403,1,1))+1)/('macs_ips'!$E$2:$E$403=$J$1),ROW(A426))),"")</f>
        <v/>
      </c>
      <c r="D428" s="41">
        <f>IFERROR(INDEX('macs_ips'!$D$2:$D$403,AGGREGATE(15,6,(ROW('macs_ips'!$A$2:$A$403)-ROW(INDEX('macs_ips'!$A$2:$A$403,1,1))+1)/('macs_ips'!$E$2:$E$403=$J$1),ROW(A426))),"")</f>
        <v/>
      </c>
      <c r="E428" s="40">
        <f>IFERROR(INDEX('macs_ips'!$E$2:$E$403,AGGREGATE(15,6,(ROW('macs_ips'!$A$2:$A$403)-ROW(INDEX('macs_ips'!$A$2:$A$403,1,1))+1)/('macs_ips'!$E$2:$E$403=$J$1),ROW(A426))),"")</f>
        <v/>
      </c>
      <c r="F428" s="41">
        <f>IFERROR(INDEX('macs_ips'!$F$2:$F$403,AGGREGATE(15,6,(ROW('macs_ips'!$A$2:$A$403)-ROW(INDEX('macs_ips'!$A$2:$A$403,1,1))+1)/('macs_ips'!$E$2:$E$403=$J$1),ROW(A426))),"")</f>
        <v/>
      </c>
      <c r="G428" s="40">
        <f>IFERROR(INDEX('macs_ips'!$G$2:$G$403,AGGREGATE(15,6,(ROW('macs_ips'!$A$2:$A$403)-ROW(INDEX('macs_ips'!$A$2:$A$403,1,1))+1)/('macs_ips'!$E$2:$E$403=$J$1),ROW(A426))),"")</f>
        <v/>
      </c>
    </row>
    <row r="429">
      <c r="A429" s="40">
        <f>IFERROR(INDEX('macs_ips'!$A$2:$A$403,AGGREGATE(15,6,(ROW('macs_ips'!$A$2:$A$403)-ROW(INDEX('macs_ips'!$A$2:$A$403,1,1))+1)/('macs_ips'!$E$2:$E$403=$J$1),ROW(A427))),"")</f>
        <v/>
      </c>
      <c r="B429" s="40">
        <f>IFERROR(INDEX('macs_ips'!$B$2:$B$403,AGGREGATE(15,6,(ROW('macs_ips'!$A$2:$A$403)-ROW(INDEX('macs_ips'!$A$2:$A$403,1,1))+1)/('macs_ips'!$E$2:$E$403=$J$1),ROW(A427))),"")</f>
        <v/>
      </c>
      <c r="C429" s="40">
        <f>IFERROR(INDEX('macs_ips'!$C$2:$C$403,AGGREGATE(15,6,(ROW('macs_ips'!$A$2:$A$403)-ROW(INDEX('macs_ips'!$A$2:$A$403,1,1))+1)/('macs_ips'!$E$2:$E$403=$J$1),ROW(A427))),"")</f>
        <v/>
      </c>
      <c r="D429" s="41">
        <f>IFERROR(INDEX('macs_ips'!$D$2:$D$403,AGGREGATE(15,6,(ROW('macs_ips'!$A$2:$A$403)-ROW(INDEX('macs_ips'!$A$2:$A$403,1,1))+1)/('macs_ips'!$E$2:$E$403=$J$1),ROW(A427))),"")</f>
        <v/>
      </c>
      <c r="E429" s="40">
        <f>IFERROR(INDEX('macs_ips'!$E$2:$E$403,AGGREGATE(15,6,(ROW('macs_ips'!$A$2:$A$403)-ROW(INDEX('macs_ips'!$A$2:$A$403,1,1))+1)/('macs_ips'!$E$2:$E$403=$J$1),ROW(A427))),"")</f>
        <v/>
      </c>
      <c r="F429" s="41">
        <f>IFERROR(INDEX('macs_ips'!$F$2:$F$403,AGGREGATE(15,6,(ROW('macs_ips'!$A$2:$A$403)-ROW(INDEX('macs_ips'!$A$2:$A$403,1,1))+1)/('macs_ips'!$E$2:$E$403=$J$1),ROW(A427))),"")</f>
        <v/>
      </c>
      <c r="G429" s="40">
        <f>IFERROR(INDEX('macs_ips'!$G$2:$G$403,AGGREGATE(15,6,(ROW('macs_ips'!$A$2:$A$403)-ROW(INDEX('macs_ips'!$A$2:$A$403,1,1))+1)/('macs_ips'!$E$2:$E$403=$J$1),ROW(A427))),"")</f>
        <v/>
      </c>
    </row>
    <row r="430">
      <c r="A430" s="40">
        <f>IFERROR(INDEX('macs_ips'!$A$2:$A$403,AGGREGATE(15,6,(ROW('macs_ips'!$A$2:$A$403)-ROW(INDEX('macs_ips'!$A$2:$A$403,1,1))+1)/('macs_ips'!$E$2:$E$403=$J$1),ROW(A428))),"")</f>
        <v/>
      </c>
      <c r="B430" s="40">
        <f>IFERROR(INDEX('macs_ips'!$B$2:$B$403,AGGREGATE(15,6,(ROW('macs_ips'!$A$2:$A$403)-ROW(INDEX('macs_ips'!$A$2:$A$403,1,1))+1)/('macs_ips'!$E$2:$E$403=$J$1),ROW(A428))),"")</f>
        <v/>
      </c>
      <c r="C430" s="40">
        <f>IFERROR(INDEX('macs_ips'!$C$2:$C$403,AGGREGATE(15,6,(ROW('macs_ips'!$A$2:$A$403)-ROW(INDEX('macs_ips'!$A$2:$A$403,1,1))+1)/('macs_ips'!$E$2:$E$403=$J$1),ROW(A428))),"")</f>
        <v/>
      </c>
      <c r="D430" s="41">
        <f>IFERROR(INDEX('macs_ips'!$D$2:$D$403,AGGREGATE(15,6,(ROW('macs_ips'!$A$2:$A$403)-ROW(INDEX('macs_ips'!$A$2:$A$403,1,1))+1)/('macs_ips'!$E$2:$E$403=$J$1),ROW(A428))),"")</f>
        <v/>
      </c>
      <c r="E430" s="40">
        <f>IFERROR(INDEX('macs_ips'!$E$2:$E$403,AGGREGATE(15,6,(ROW('macs_ips'!$A$2:$A$403)-ROW(INDEX('macs_ips'!$A$2:$A$403,1,1))+1)/('macs_ips'!$E$2:$E$403=$J$1),ROW(A428))),"")</f>
        <v/>
      </c>
      <c r="F430" s="41">
        <f>IFERROR(INDEX('macs_ips'!$F$2:$F$403,AGGREGATE(15,6,(ROW('macs_ips'!$A$2:$A$403)-ROW(INDEX('macs_ips'!$A$2:$A$403,1,1))+1)/('macs_ips'!$E$2:$E$403=$J$1),ROW(A428))),"")</f>
        <v/>
      </c>
      <c r="G430" s="40">
        <f>IFERROR(INDEX('macs_ips'!$G$2:$G$403,AGGREGATE(15,6,(ROW('macs_ips'!$A$2:$A$403)-ROW(INDEX('macs_ips'!$A$2:$A$403,1,1))+1)/('macs_ips'!$E$2:$E$403=$J$1),ROW(A428))),"")</f>
        <v/>
      </c>
    </row>
    <row r="431">
      <c r="A431" s="40">
        <f>IFERROR(INDEX('macs_ips'!$A$2:$A$403,AGGREGATE(15,6,(ROW('macs_ips'!$A$2:$A$403)-ROW(INDEX('macs_ips'!$A$2:$A$403,1,1))+1)/('macs_ips'!$E$2:$E$403=$J$1),ROW(A429))),"")</f>
        <v/>
      </c>
      <c r="B431" s="40">
        <f>IFERROR(INDEX('macs_ips'!$B$2:$B$403,AGGREGATE(15,6,(ROW('macs_ips'!$A$2:$A$403)-ROW(INDEX('macs_ips'!$A$2:$A$403,1,1))+1)/('macs_ips'!$E$2:$E$403=$J$1),ROW(A429))),"")</f>
        <v/>
      </c>
      <c r="C431" s="40">
        <f>IFERROR(INDEX('macs_ips'!$C$2:$C$403,AGGREGATE(15,6,(ROW('macs_ips'!$A$2:$A$403)-ROW(INDEX('macs_ips'!$A$2:$A$403,1,1))+1)/('macs_ips'!$E$2:$E$403=$J$1),ROW(A429))),"")</f>
        <v/>
      </c>
      <c r="D431" s="41">
        <f>IFERROR(INDEX('macs_ips'!$D$2:$D$403,AGGREGATE(15,6,(ROW('macs_ips'!$A$2:$A$403)-ROW(INDEX('macs_ips'!$A$2:$A$403,1,1))+1)/('macs_ips'!$E$2:$E$403=$J$1),ROW(A429))),"")</f>
        <v/>
      </c>
      <c r="E431" s="40">
        <f>IFERROR(INDEX('macs_ips'!$E$2:$E$403,AGGREGATE(15,6,(ROW('macs_ips'!$A$2:$A$403)-ROW(INDEX('macs_ips'!$A$2:$A$403,1,1))+1)/('macs_ips'!$E$2:$E$403=$J$1),ROW(A429))),"")</f>
        <v/>
      </c>
      <c r="F431" s="41">
        <f>IFERROR(INDEX('macs_ips'!$F$2:$F$403,AGGREGATE(15,6,(ROW('macs_ips'!$A$2:$A$403)-ROW(INDEX('macs_ips'!$A$2:$A$403,1,1))+1)/('macs_ips'!$E$2:$E$403=$J$1),ROW(A429))),"")</f>
        <v/>
      </c>
      <c r="G431" s="40">
        <f>IFERROR(INDEX('macs_ips'!$G$2:$G$403,AGGREGATE(15,6,(ROW('macs_ips'!$A$2:$A$403)-ROW(INDEX('macs_ips'!$A$2:$A$403,1,1))+1)/('macs_ips'!$E$2:$E$403=$J$1),ROW(A429))),"")</f>
        <v/>
      </c>
    </row>
    <row r="432">
      <c r="A432" s="40">
        <f>IFERROR(INDEX('macs_ips'!$A$2:$A$403,AGGREGATE(15,6,(ROW('macs_ips'!$A$2:$A$403)-ROW(INDEX('macs_ips'!$A$2:$A$403,1,1))+1)/('macs_ips'!$E$2:$E$403=$J$1),ROW(A430))),"")</f>
        <v/>
      </c>
      <c r="B432" s="40">
        <f>IFERROR(INDEX('macs_ips'!$B$2:$B$403,AGGREGATE(15,6,(ROW('macs_ips'!$A$2:$A$403)-ROW(INDEX('macs_ips'!$A$2:$A$403,1,1))+1)/('macs_ips'!$E$2:$E$403=$J$1),ROW(A430))),"")</f>
        <v/>
      </c>
      <c r="C432" s="40">
        <f>IFERROR(INDEX('macs_ips'!$C$2:$C$403,AGGREGATE(15,6,(ROW('macs_ips'!$A$2:$A$403)-ROW(INDEX('macs_ips'!$A$2:$A$403,1,1))+1)/('macs_ips'!$E$2:$E$403=$J$1),ROW(A430))),"")</f>
        <v/>
      </c>
      <c r="D432" s="41">
        <f>IFERROR(INDEX('macs_ips'!$D$2:$D$403,AGGREGATE(15,6,(ROW('macs_ips'!$A$2:$A$403)-ROW(INDEX('macs_ips'!$A$2:$A$403,1,1))+1)/('macs_ips'!$E$2:$E$403=$J$1),ROW(A430))),"")</f>
        <v/>
      </c>
      <c r="E432" s="40">
        <f>IFERROR(INDEX('macs_ips'!$E$2:$E$403,AGGREGATE(15,6,(ROW('macs_ips'!$A$2:$A$403)-ROW(INDEX('macs_ips'!$A$2:$A$403,1,1))+1)/('macs_ips'!$E$2:$E$403=$J$1),ROW(A430))),"")</f>
        <v/>
      </c>
      <c r="F432" s="41">
        <f>IFERROR(INDEX('macs_ips'!$F$2:$F$403,AGGREGATE(15,6,(ROW('macs_ips'!$A$2:$A$403)-ROW(INDEX('macs_ips'!$A$2:$A$403,1,1))+1)/('macs_ips'!$E$2:$E$403=$J$1),ROW(A430))),"")</f>
        <v/>
      </c>
      <c r="G432" s="40">
        <f>IFERROR(INDEX('macs_ips'!$G$2:$G$403,AGGREGATE(15,6,(ROW('macs_ips'!$A$2:$A$403)-ROW(INDEX('macs_ips'!$A$2:$A$403,1,1))+1)/('macs_ips'!$E$2:$E$403=$J$1),ROW(A430))),"")</f>
        <v/>
      </c>
    </row>
    <row r="433">
      <c r="A433" s="40">
        <f>IFERROR(INDEX('macs_ips'!$A$2:$A$403,AGGREGATE(15,6,(ROW('macs_ips'!$A$2:$A$403)-ROW(INDEX('macs_ips'!$A$2:$A$403,1,1))+1)/('macs_ips'!$E$2:$E$403=$J$1),ROW(A431))),"")</f>
        <v/>
      </c>
      <c r="B433" s="40">
        <f>IFERROR(INDEX('macs_ips'!$B$2:$B$403,AGGREGATE(15,6,(ROW('macs_ips'!$A$2:$A$403)-ROW(INDEX('macs_ips'!$A$2:$A$403,1,1))+1)/('macs_ips'!$E$2:$E$403=$J$1),ROW(A431))),"")</f>
        <v/>
      </c>
      <c r="C433" s="40">
        <f>IFERROR(INDEX('macs_ips'!$C$2:$C$403,AGGREGATE(15,6,(ROW('macs_ips'!$A$2:$A$403)-ROW(INDEX('macs_ips'!$A$2:$A$403,1,1))+1)/('macs_ips'!$E$2:$E$403=$J$1),ROW(A431))),"")</f>
        <v/>
      </c>
      <c r="D433" s="41">
        <f>IFERROR(INDEX('macs_ips'!$D$2:$D$403,AGGREGATE(15,6,(ROW('macs_ips'!$A$2:$A$403)-ROW(INDEX('macs_ips'!$A$2:$A$403,1,1))+1)/('macs_ips'!$E$2:$E$403=$J$1),ROW(A431))),"")</f>
        <v/>
      </c>
      <c r="E433" s="40">
        <f>IFERROR(INDEX('macs_ips'!$E$2:$E$403,AGGREGATE(15,6,(ROW('macs_ips'!$A$2:$A$403)-ROW(INDEX('macs_ips'!$A$2:$A$403,1,1))+1)/('macs_ips'!$E$2:$E$403=$J$1),ROW(A431))),"")</f>
        <v/>
      </c>
      <c r="F433" s="41">
        <f>IFERROR(INDEX('macs_ips'!$F$2:$F$403,AGGREGATE(15,6,(ROW('macs_ips'!$A$2:$A$403)-ROW(INDEX('macs_ips'!$A$2:$A$403,1,1))+1)/('macs_ips'!$E$2:$E$403=$J$1),ROW(A431))),"")</f>
        <v/>
      </c>
      <c r="G433" s="40">
        <f>IFERROR(INDEX('macs_ips'!$G$2:$G$403,AGGREGATE(15,6,(ROW('macs_ips'!$A$2:$A$403)-ROW(INDEX('macs_ips'!$A$2:$A$403,1,1))+1)/('macs_ips'!$E$2:$E$403=$J$1),ROW(A431))),"")</f>
        <v/>
      </c>
    </row>
    <row r="434">
      <c r="A434" s="40">
        <f>IFERROR(INDEX('macs_ips'!$A$2:$A$403,AGGREGATE(15,6,(ROW('macs_ips'!$A$2:$A$403)-ROW(INDEX('macs_ips'!$A$2:$A$403,1,1))+1)/('macs_ips'!$E$2:$E$403=$J$1),ROW(A432))),"")</f>
        <v/>
      </c>
      <c r="B434" s="40">
        <f>IFERROR(INDEX('macs_ips'!$B$2:$B$403,AGGREGATE(15,6,(ROW('macs_ips'!$A$2:$A$403)-ROW(INDEX('macs_ips'!$A$2:$A$403,1,1))+1)/('macs_ips'!$E$2:$E$403=$J$1),ROW(A432))),"")</f>
        <v/>
      </c>
      <c r="C434" s="40">
        <f>IFERROR(INDEX('macs_ips'!$C$2:$C$403,AGGREGATE(15,6,(ROW('macs_ips'!$A$2:$A$403)-ROW(INDEX('macs_ips'!$A$2:$A$403,1,1))+1)/('macs_ips'!$E$2:$E$403=$J$1),ROW(A432))),"")</f>
        <v/>
      </c>
      <c r="D434" s="41">
        <f>IFERROR(INDEX('macs_ips'!$D$2:$D$403,AGGREGATE(15,6,(ROW('macs_ips'!$A$2:$A$403)-ROW(INDEX('macs_ips'!$A$2:$A$403,1,1))+1)/('macs_ips'!$E$2:$E$403=$J$1),ROW(A432))),"")</f>
        <v/>
      </c>
      <c r="E434" s="40">
        <f>IFERROR(INDEX('macs_ips'!$E$2:$E$403,AGGREGATE(15,6,(ROW('macs_ips'!$A$2:$A$403)-ROW(INDEX('macs_ips'!$A$2:$A$403,1,1))+1)/('macs_ips'!$E$2:$E$403=$J$1),ROW(A432))),"")</f>
        <v/>
      </c>
      <c r="F434" s="41">
        <f>IFERROR(INDEX('macs_ips'!$F$2:$F$403,AGGREGATE(15,6,(ROW('macs_ips'!$A$2:$A$403)-ROW(INDEX('macs_ips'!$A$2:$A$403,1,1))+1)/('macs_ips'!$E$2:$E$403=$J$1),ROW(A432))),"")</f>
        <v/>
      </c>
      <c r="G434" s="40">
        <f>IFERROR(INDEX('macs_ips'!$G$2:$G$403,AGGREGATE(15,6,(ROW('macs_ips'!$A$2:$A$403)-ROW(INDEX('macs_ips'!$A$2:$A$403,1,1))+1)/('macs_ips'!$E$2:$E$403=$J$1),ROW(A432))),"")</f>
        <v/>
      </c>
    </row>
    <row r="435">
      <c r="A435" s="40">
        <f>IFERROR(INDEX('macs_ips'!$A$2:$A$403,AGGREGATE(15,6,(ROW('macs_ips'!$A$2:$A$403)-ROW(INDEX('macs_ips'!$A$2:$A$403,1,1))+1)/('macs_ips'!$E$2:$E$403=$J$1),ROW(A433))),"")</f>
        <v/>
      </c>
      <c r="B435" s="40">
        <f>IFERROR(INDEX('macs_ips'!$B$2:$B$403,AGGREGATE(15,6,(ROW('macs_ips'!$A$2:$A$403)-ROW(INDEX('macs_ips'!$A$2:$A$403,1,1))+1)/('macs_ips'!$E$2:$E$403=$J$1),ROW(A433))),"")</f>
        <v/>
      </c>
      <c r="C435" s="40">
        <f>IFERROR(INDEX('macs_ips'!$C$2:$C$403,AGGREGATE(15,6,(ROW('macs_ips'!$A$2:$A$403)-ROW(INDEX('macs_ips'!$A$2:$A$403,1,1))+1)/('macs_ips'!$E$2:$E$403=$J$1),ROW(A433))),"")</f>
        <v/>
      </c>
      <c r="D435" s="41">
        <f>IFERROR(INDEX('macs_ips'!$D$2:$D$403,AGGREGATE(15,6,(ROW('macs_ips'!$A$2:$A$403)-ROW(INDEX('macs_ips'!$A$2:$A$403,1,1))+1)/('macs_ips'!$E$2:$E$403=$J$1),ROW(A433))),"")</f>
        <v/>
      </c>
      <c r="E435" s="40">
        <f>IFERROR(INDEX('macs_ips'!$E$2:$E$403,AGGREGATE(15,6,(ROW('macs_ips'!$A$2:$A$403)-ROW(INDEX('macs_ips'!$A$2:$A$403,1,1))+1)/('macs_ips'!$E$2:$E$403=$J$1),ROW(A433))),"")</f>
        <v/>
      </c>
      <c r="F435" s="41">
        <f>IFERROR(INDEX('macs_ips'!$F$2:$F$403,AGGREGATE(15,6,(ROW('macs_ips'!$A$2:$A$403)-ROW(INDEX('macs_ips'!$A$2:$A$403,1,1))+1)/('macs_ips'!$E$2:$E$403=$J$1),ROW(A433))),"")</f>
        <v/>
      </c>
      <c r="G435" s="40">
        <f>IFERROR(INDEX('macs_ips'!$G$2:$G$403,AGGREGATE(15,6,(ROW('macs_ips'!$A$2:$A$403)-ROW(INDEX('macs_ips'!$A$2:$A$403,1,1))+1)/('macs_ips'!$E$2:$E$403=$J$1),ROW(A433))),"")</f>
        <v/>
      </c>
    </row>
    <row r="436">
      <c r="A436" s="40">
        <f>IFERROR(INDEX('macs_ips'!$A$2:$A$403,AGGREGATE(15,6,(ROW('macs_ips'!$A$2:$A$403)-ROW(INDEX('macs_ips'!$A$2:$A$403,1,1))+1)/('macs_ips'!$E$2:$E$403=$J$1),ROW(A434))),"")</f>
        <v/>
      </c>
      <c r="B436" s="40">
        <f>IFERROR(INDEX('macs_ips'!$B$2:$B$403,AGGREGATE(15,6,(ROW('macs_ips'!$A$2:$A$403)-ROW(INDEX('macs_ips'!$A$2:$A$403,1,1))+1)/('macs_ips'!$E$2:$E$403=$J$1),ROW(A434))),"")</f>
        <v/>
      </c>
      <c r="C436" s="40">
        <f>IFERROR(INDEX('macs_ips'!$C$2:$C$403,AGGREGATE(15,6,(ROW('macs_ips'!$A$2:$A$403)-ROW(INDEX('macs_ips'!$A$2:$A$403,1,1))+1)/('macs_ips'!$E$2:$E$403=$J$1),ROW(A434))),"")</f>
        <v/>
      </c>
      <c r="D436" s="41">
        <f>IFERROR(INDEX('macs_ips'!$D$2:$D$403,AGGREGATE(15,6,(ROW('macs_ips'!$A$2:$A$403)-ROW(INDEX('macs_ips'!$A$2:$A$403,1,1))+1)/('macs_ips'!$E$2:$E$403=$J$1),ROW(A434))),"")</f>
        <v/>
      </c>
      <c r="E436" s="40">
        <f>IFERROR(INDEX('macs_ips'!$E$2:$E$403,AGGREGATE(15,6,(ROW('macs_ips'!$A$2:$A$403)-ROW(INDEX('macs_ips'!$A$2:$A$403,1,1))+1)/('macs_ips'!$E$2:$E$403=$J$1),ROW(A434))),"")</f>
        <v/>
      </c>
      <c r="F436" s="41">
        <f>IFERROR(INDEX('macs_ips'!$F$2:$F$403,AGGREGATE(15,6,(ROW('macs_ips'!$A$2:$A$403)-ROW(INDEX('macs_ips'!$A$2:$A$403,1,1))+1)/('macs_ips'!$E$2:$E$403=$J$1),ROW(A434))),"")</f>
        <v/>
      </c>
      <c r="G436" s="40">
        <f>IFERROR(INDEX('macs_ips'!$G$2:$G$403,AGGREGATE(15,6,(ROW('macs_ips'!$A$2:$A$403)-ROW(INDEX('macs_ips'!$A$2:$A$403,1,1))+1)/('macs_ips'!$E$2:$E$403=$J$1),ROW(A434))),"")</f>
        <v/>
      </c>
    </row>
    <row r="437">
      <c r="A437" s="40">
        <f>IFERROR(INDEX('macs_ips'!$A$2:$A$403,AGGREGATE(15,6,(ROW('macs_ips'!$A$2:$A$403)-ROW(INDEX('macs_ips'!$A$2:$A$403,1,1))+1)/('macs_ips'!$E$2:$E$403=$J$1),ROW(A435))),"")</f>
        <v/>
      </c>
      <c r="B437" s="40">
        <f>IFERROR(INDEX('macs_ips'!$B$2:$B$403,AGGREGATE(15,6,(ROW('macs_ips'!$A$2:$A$403)-ROW(INDEX('macs_ips'!$A$2:$A$403,1,1))+1)/('macs_ips'!$E$2:$E$403=$J$1),ROW(A435))),"")</f>
        <v/>
      </c>
      <c r="C437" s="40">
        <f>IFERROR(INDEX('macs_ips'!$C$2:$C$403,AGGREGATE(15,6,(ROW('macs_ips'!$A$2:$A$403)-ROW(INDEX('macs_ips'!$A$2:$A$403,1,1))+1)/('macs_ips'!$E$2:$E$403=$J$1),ROW(A435))),"")</f>
        <v/>
      </c>
      <c r="D437" s="41">
        <f>IFERROR(INDEX('macs_ips'!$D$2:$D$403,AGGREGATE(15,6,(ROW('macs_ips'!$A$2:$A$403)-ROW(INDEX('macs_ips'!$A$2:$A$403,1,1))+1)/('macs_ips'!$E$2:$E$403=$J$1),ROW(A435))),"")</f>
        <v/>
      </c>
      <c r="E437" s="40">
        <f>IFERROR(INDEX('macs_ips'!$E$2:$E$403,AGGREGATE(15,6,(ROW('macs_ips'!$A$2:$A$403)-ROW(INDEX('macs_ips'!$A$2:$A$403,1,1))+1)/('macs_ips'!$E$2:$E$403=$J$1),ROW(A435))),"")</f>
        <v/>
      </c>
      <c r="F437" s="41">
        <f>IFERROR(INDEX('macs_ips'!$F$2:$F$403,AGGREGATE(15,6,(ROW('macs_ips'!$A$2:$A$403)-ROW(INDEX('macs_ips'!$A$2:$A$403,1,1))+1)/('macs_ips'!$E$2:$E$403=$J$1),ROW(A435))),"")</f>
        <v/>
      </c>
      <c r="G437" s="40">
        <f>IFERROR(INDEX('macs_ips'!$G$2:$G$403,AGGREGATE(15,6,(ROW('macs_ips'!$A$2:$A$403)-ROW(INDEX('macs_ips'!$A$2:$A$403,1,1))+1)/('macs_ips'!$E$2:$E$403=$J$1),ROW(A435))),"")</f>
        <v/>
      </c>
    </row>
    <row r="438">
      <c r="A438" s="40">
        <f>IFERROR(INDEX('macs_ips'!$A$2:$A$403,AGGREGATE(15,6,(ROW('macs_ips'!$A$2:$A$403)-ROW(INDEX('macs_ips'!$A$2:$A$403,1,1))+1)/('macs_ips'!$E$2:$E$403=$J$1),ROW(A436))),"")</f>
        <v/>
      </c>
      <c r="B438" s="40">
        <f>IFERROR(INDEX('macs_ips'!$B$2:$B$403,AGGREGATE(15,6,(ROW('macs_ips'!$A$2:$A$403)-ROW(INDEX('macs_ips'!$A$2:$A$403,1,1))+1)/('macs_ips'!$E$2:$E$403=$J$1),ROW(A436))),"")</f>
        <v/>
      </c>
      <c r="C438" s="40">
        <f>IFERROR(INDEX('macs_ips'!$C$2:$C$403,AGGREGATE(15,6,(ROW('macs_ips'!$A$2:$A$403)-ROW(INDEX('macs_ips'!$A$2:$A$403,1,1))+1)/('macs_ips'!$E$2:$E$403=$J$1),ROW(A436))),"")</f>
        <v/>
      </c>
      <c r="D438" s="41">
        <f>IFERROR(INDEX('macs_ips'!$D$2:$D$403,AGGREGATE(15,6,(ROW('macs_ips'!$A$2:$A$403)-ROW(INDEX('macs_ips'!$A$2:$A$403,1,1))+1)/('macs_ips'!$E$2:$E$403=$J$1),ROW(A436))),"")</f>
        <v/>
      </c>
      <c r="E438" s="40">
        <f>IFERROR(INDEX('macs_ips'!$E$2:$E$403,AGGREGATE(15,6,(ROW('macs_ips'!$A$2:$A$403)-ROW(INDEX('macs_ips'!$A$2:$A$403,1,1))+1)/('macs_ips'!$E$2:$E$403=$J$1),ROW(A436))),"")</f>
        <v/>
      </c>
      <c r="F438" s="41">
        <f>IFERROR(INDEX('macs_ips'!$F$2:$F$403,AGGREGATE(15,6,(ROW('macs_ips'!$A$2:$A$403)-ROW(INDEX('macs_ips'!$A$2:$A$403,1,1))+1)/('macs_ips'!$E$2:$E$403=$J$1),ROW(A436))),"")</f>
        <v/>
      </c>
      <c r="G438" s="40">
        <f>IFERROR(INDEX('macs_ips'!$G$2:$G$403,AGGREGATE(15,6,(ROW('macs_ips'!$A$2:$A$403)-ROW(INDEX('macs_ips'!$A$2:$A$403,1,1))+1)/('macs_ips'!$E$2:$E$403=$J$1),ROW(A436))),"")</f>
        <v/>
      </c>
    </row>
    <row r="439">
      <c r="A439" s="40">
        <f>IFERROR(INDEX('macs_ips'!$A$2:$A$403,AGGREGATE(15,6,(ROW('macs_ips'!$A$2:$A$403)-ROW(INDEX('macs_ips'!$A$2:$A$403,1,1))+1)/('macs_ips'!$E$2:$E$403=$J$1),ROW(A437))),"")</f>
        <v/>
      </c>
      <c r="B439" s="40">
        <f>IFERROR(INDEX('macs_ips'!$B$2:$B$403,AGGREGATE(15,6,(ROW('macs_ips'!$A$2:$A$403)-ROW(INDEX('macs_ips'!$A$2:$A$403,1,1))+1)/('macs_ips'!$E$2:$E$403=$J$1),ROW(A437))),"")</f>
        <v/>
      </c>
      <c r="C439" s="40">
        <f>IFERROR(INDEX('macs_ips'!$C$2:$C$403,AGGREGATE(15,6,(ROW('macs_ips'!$A$2:$A$403)-ROW(INDEX('macs_ips'!$A$2:$A$403,1,1))+1)/('macs_ips'!$E$2:$E$403=$J$1),ROW(A437))),"")</f>
        <v/>
      </c>
      <c r="D439" s="41">
        <f>IFERROR(INDEX('macs_ips'!$D$2:$D$403,AGGREGATE(15,6,(ROW('macs_ips'!$A$2:$A$403)-ROW(INDEX('macs_ips'!$A$2:$A$403,1,1))+1)/('macs_ips'!$E$2:$E$403=$J$1),ROW(A437))),"")</f>
        <v/>
      </c>
      <c r="E439" s="40">
        <f>IFERROR(INDEX('macs_ips'!$E$2:$E$403,AGGREGATE(15,6,(ROW('macs_ips'!$A$2:$A$403)-ROW(INDEX('macs_ips'!$A$2:$A$403,1,1))+1)/('macs_ips'!$E$2:$E$403=$J$1),ROW(A437))),"")</f>
        <v/>
      </c>
      <c r="F439" s="41">
        <f>IFERROR(INDEX('macs_ips'!$F$2:$F$403,AGGREGATE(15,6,(ROW('macs_ips'!$A$2:$A$403)-ROW(INDEX('macs_ips'!$A$2:$A$403,1,1))+1)/('macs_ips'!$E$2:$E$403=$J$1),ROW(A437))),"")</f>
        <v/>
      </c>
      <c r="G439" s="40">
        <f>IFERROR(INDEX('macs_ips'!$G$2:$G$403,AGGREGATE(15,6,(ROW('macs_ips'!$A$2:$A$403)-ROW(INDEX('macs_ips'!$A$2:$A$403,1,1))+1)/('macs_ips'!$E$2:$E$403=$J$1),ROW(A437))),"")</f>
        <v/>
      </c>
    </row>
    <row r="440">
      <c r="A440" s="40">
        <f>IFERROR(INDEX('macs_ips'!$A$2:$A$403,AGGREGATE(15,6,(ROW('macs_ips'!$A$2:$A$403)-ROW(INDEX('macs_ips'!$A$2:$A$403,1,1))+1)/('macs_ips'!$E$2:$E$403=$J$1),ROW(A438))),"")</f>
        <v/>
      </c>
      <c r="B440" s="40">
        <f>IFERROR(INDEX('macs_ips'!$B$2:$B$403,AGGREGATE(15,6,(ROW('macs_ips'!$A$2:$A$403)-ROW(INDEX('macs_ips'!$A$2:$A$403,1,1))+1)/('macs_ips'!$E$2:$E$403=$J$1),ROW(A438))),"")</f>
        <v/>
      </c>
      <c r="C440" s="40">
        <f>IFERROR(INDEX('macs_ips'!$C$2:$C$403,AGGREGATE(15,6,(ROW('macs_ips'!$A$2:$A$403)-ROW(INDEX('macs_ips'!$A$2:$A$403,1,1))+1)/('macs_ips'!$E$2:$E$403=$J$1),ROW(A438))),"")</f>
        <v/>
      </c>
      <c r="D440" s="41">
        <f>IFERROR(INDEX('macs_ips'!$D$2:$D$403,AGGREGATE(15,6,(ROW('macs_ips'!$A$2:$A$403)-ROW(INDEX('macs_ips'!$A$2:$A$403,1,1))+1)/('macs_ips'!$E$2:$E$403=$J$1),ROW(A438))),"")</f>
        <v/>
      </c>
      <c r="E440" s="40">
        <f>IFERROR(INDEX('macs_ips'!$E$2:$E$403,AGGREGATE(15,6,(ROW('macs_ips'!$A$2:$A$403)-ROW(INDEX('macs_ips'!$A$2:$A$403,1,1))+1)/('macs_ips'!$E$2:$E$403=$J$1),ROW(A438))),"")</f>
        <v/>
      </c>
      <c r="F440" s="41">
        <f>IFERROR(INDEX('macs_ips'!$F$2:$F$403,AGGREGATE(15,6,(ROW('macs_ips'!$A$2:$A$403)-ROW(INDEX('macs_ips'!$A$2:$A$403,1,1))+1)/('macs_ips'!$E$2:$E$403=$J$1),ROW(A438))),"")</f>
        <v/>
      </c>
      <c r="G440" s="40">
        <f>IFERROR(INDEX('macs_ips'!$G$2:$G$403,AGGREGATE(15,6,(ROW('macs_ips'!$A$2:$A$403)-ROW(INDEX('macs_ips'!$A$2:$A$403,1,1))+1)/('macs_ips'!$E$2:$E$403=$J$1),ROW(A438))),"")</f>
        <v/>
      </c>
    </row>
    <row r="441">
      <c r="A441" s="40">
        <f>IFERROR(INDEX('macs_ips'!$A$2:$A$403,AGGREGATE(15,6,(ROW('macs_ips'!$A$2:$A$403)-ROW(INDEX('macs_ips'!$A$2:$A$403,1,1))+1)/('macs_ips'!$E$2:$E$403=$J$1),ROW(A439))),"")</f>
        <v/>
      </c>
      <c r="B441" s="40">
        <f>IFERROR(INDEX('macs_ips'!$B$2:$B$403,AGGREGATE(15,6,(ROW('macs_ips'!$A$2:$A$403)-ROW(INDEX('macs_ips'!$A$2:$A$403,1,1))+1)/('macs_ips'!$E$2:$E$403=$J$1),ROW(A439))),"")</f>
        <v/>
      </c>
      <c r="C441" s="40">
        <f>IFERROR(INDEX('macs_ips'!$C$2:$C$403,AGGREGATE(15,6,(ROW('macs_ips'!$A$2:$A$403)-ROW(INDEX('macs_ips'!$A$2:$A$403,1,1))+1)/('macs_ips'!$E$2:$E$403=$J$1),ROW(A439))),"")</f>
        <v/>
      </c>
      <c r="D441" s="41">
        <f>IFERROR(INDEX('macs_ips'!$D$2:$D$403,AGGREGATE(15,6,(ROW('macs_ips'!$A$2:$A$403)-ROW(INDEX('macs_ips'!$A$2:$A$403,1,1))+1)/('macs_ips'!$E$2:$E$403=$J$1),ROW(A439))),"")</f>
        <v/>
      </c>
      <c r="E441" s="40">
        <f>IFERROR(INDEX('macs_ips'!$E$2:$E$403,AGGREGATE(15,6,(ROW('macs_ips'!$A$2:$A$403)-ROW(INDEX('macs_ips'!$A$2:$A$403,1,1))+1)/('macs_ips'!$E$2:$E$403=$J$1),ROW(A439))),"")</f>
        <v/>
      </c>
      <c r="F441" s="41">
        <f>IFERROR(INDEX('macs_ips'!$F$2:$F$403,AGGREGATE(15,6,(ROW('macs_ips'!$A$2:$A$403)-ROW(INDEX('macs_ips'!$A$2:$A$403,1,1))+1)/('macs_ips'!$E$2:$E$403=$J$1),ROW(A439))),"")</f>
        <v/>
      </c>
      <c r="G441" s="40">
        <f>IFERROR(INDEX('macs_ips'!$G$2:$G$403,AGGREGATE(15,6,(ROW('macs_ips'!$A$2:$A$403)-ROW(INDEX('macs_ips'!$A$2:$A$403,1,1))+1)/('macs_ips'!$E$2:$E$403=$J$1),ROW(A439))),"")</f>
        <v/>
      </c>
    </row>
    <row r="442">
      <c r="A442" s="40">
        <f>IFERROR(INDEX('macs_ips'!$A$2:$A$403,AGGREGATE(15,6,(ROW('macs_ips'!$A$2:$A$403)-ROW(INDEX('macs_ips'!$A$2:$A$403,1,1))+1)/('macs_ips'!$E$2:$E$403=$J$1),ROW(A440))),"")</f>
        <v/>
      </c>
      <c r="B442" s="40">
        <f>IFERROR(INDEX('macs_ips'!$B$2:$B$403,AGGREGATE(15,6,(ROW('macs_ips'!$A$2:$A$403)-ROW(INDEX('macs_ips'!$A$2:$A$403,1,1))+1)/('macs_ips'!$E$2:$E$403=$J$1),ROW(A440))),"")</f>
        <v/>
      </c>
      <c r="C442" s="40">
        <f>IFERROR(INDEX('macs_ips'!$C$2:$C$403,AGGREGATE(15,6,(ROW('macs_ips'!$A$2:$A$403)-ROW(INDEX('macs_ips'!$A$2:$A$403,1,1))+1)/('macs_ips'!$E$2:$E$403=$J$1),ROW(A440))),"")</f>
        <v/>
      </c>
      <c r="D442" s="41">
        <f>IFERROR(INDEX('macs_ips'!$D$2:$D$403,AGGREGATE(15,6,(ROW('macs_ips'!$A$2:$A$403)-ROW(INDEX('macs_ips'!$A$2:$A$403,1,1))+1)/('macs_ips'!$E$2:$E$403=$J$1),ROW(A440))),"")</f>
        <v/>
      </c>
      <c r="E442" s="40">
        <f>IFERROR(INDEX('macs_ips'!$E$2:$E$403,AGGREGATE(15,6,(ROW('macs_ips'!$A$2:$A$403)-ROW(INDEX('macs_ips'!$A$2:$A$403,1,1))+1)/('macs_ips'!$E$2:$E$403=$J$1),ROW(A440))),"")</f>
        <v/>
      </c>
      <c r="F442" s="41">
        <f>IFERROR(INDEX('macs_ips'!$F$2:$F$403,AGGREGATE(15,6,(ROW('macs_ips'!$A$2:$A$403)-ROW(INDEX('macs_ips'!$A$2:$A$403,1,1))+1)/('macs_ips'!$E$2:$E$403=$J$1),ROW(A440))),"")</f>
        <v/>
      </c>
      <c r="G442" s="40">
        <f>IFERROR(INDEX('macs_ips'!$G$2:$G$403,AGGREGATE(15,6,(ROW('macs_ips'!$A$2:$A$403)-ROW(INDEX('macs_ips'!$A$2:$A$403,1,1))+1)/('macs_ips'!$E$2:$E$403=$J$1),ROW(A440))),"")</f>
        <v/>
      </c>
    </row>
    <row r="443">
      <c r="A443" s="40">
        <f>IFERROR(INDEX('macs_ips'!$A$2:$A$403,AGGREGATE(15,6,(ROW('macs_ips'!$A$2:$A$403)-ROW(INDEX('macs_ips'!$A$2:$A$403,1,1))+1)/('macs_ips'!$E$2:$E$403=$J$1),ROW(A441))),"")</f>
        <v/>
      </c>
      <c r="B443" s="40">
        <f>IFERROR(INDEX('macs_ips'!$B$2:$B$403,AGGREGATE(15,6,(ROW('macs_ips'!$A$2:$A$403)-ROW(INDEX('macs_ips'!$A$2:$A$403,1,1))+1)/('macs_ips'!$E$2:$E$403=$J$1),ROW(A441))),"")</f>
        <v/>
      </c>
      <c r="C443" s="40">
        <f>IFERROR(INDEX('macs_ips'!$C$2:$C$403,AGGREGATE(15,6,(ROW('macs_ips'!$A$2:$A$403)-ROW(INDEX('macs_ips'!$A$2:$A$403,1,1))+1)/('macs_ips'!$E$2:$E$403=$J$1),ROW(A441))),"")</f>
        <v/>
      </c>
      <c r="D443" s="41">
        <f>IFERROR(INDEX('macs_ips'!$D$2:$D$403,AGGREGATE(15,6,(ROW('macs_ips'!$A$2:$A$403)-ROW(INDEX('macs_ips'!$A$2:$A$403,1,1))+1)/('macs_ips'!$E$2:$E$403=$J$1),ROW(A441))),"")</f>
        <v/>
      </c>
      <c r="E443" s="40">
        <f>IFERROR(INDEX('macs_ips'!$E$2:$E$403,AGGREGATE(15,6,(ROW('macs_ips'!$A$2:$A$403)-ROW(INDEX('macs_ips'!$A$2:$A$403,1,1))+1)/('macs_ips'!$E$2:$E$403=$J$1),ROW(A441))),"")</f>
        <v/>
      </c>
      <c r="F443" s="41">
        <f>IFERROR(INDEX('macs_ips'!$F$2:$F$403,AGGREGATE(15,6,(ROW('macs_ips'!$A$2:$A$403)-ROW(INDEX('macs_ips'!$A$2:$A$403,1,1))+1)/('macs_ips'!$E$2:$E$403=$J$1),ROW(A441))),"")</f>
        <v/>
      </c>
      <c r="G443" s="40">
        <f>IFERROR(INDEX('macs_ips'!$G$2:$G$403,AGGREGATE(15,6,(ROW('macs_ips'!$A$2:$A$403)-ROW(INDEX('macs_ips'!$A$2:$A$403,1,1))+1)/('macs_ips'!$E$2:$E$403=$J$1),ROW(A441))),"")</f>
        <v/>
      </c>
    </row>
    <row r="444">
      <c r="A444" s="40">
        <f>IFERROR(INDEX('macs_ips'!$A$2:$A$403,AGGREGATE(15,6,(ROW('macs_ips'!$A$2:$A$403)-ROW(INDEX('macs_ips'!$A$2:$A$403,1,1))+1)/('macs_ips'!$E$2:$E$403=$J$1),ROW(A442))),"")</f>
        <v/>
      </c>
      <c r="B444" s="40">
        <f>IFERROR(INDEX('macs_ips'!$B$2:$B$403,AGGREGATE(15,6,(ROW('macs_ips'!$A$2:$A$403)-ROW(INDEX('macs_ips'!$A$2:$A$403,1,1))+1)/('macs_ips'!$E$2:$E$403=$J$1),ROW(A442))),"")</f>
        <v/>
      </c>
      <c r="C444" s="40">
        <f>IFERROR(INDEX('macs_ips'!$C$2:$C$403,AGGREGATE(15,6,(ROW('macs_ips'!$A$2:$A$403)-ROW(INDEX('macs_ips'!$A$2:$A$403,1,1))+1)/('macs_ips'!$E$2:$E$403=$J$1),ROW(A442))),"")</f>
        <v/>
      </c>
      <c r="D444" s="41">
        <f>IFERROR(INDEX('macs_ips'!$D$2:$D$403,AGGREGATE(15,6,(ROW('macs_ips'!$A$2:$A$403)-ROW(INDEX('macs_ips'!$A$2:$A$403,1,1))+1)/('macs_ips'!$E$2:$E$403=$J$1),ROW(A442))),"")</f>
        <v/>
      </c>
      <c r="E444" s="40">
        <f>IFERROR(INDEX('macs_ips'!$E$2:$E$403,AGGREGATE(15,6,(ROW('macs_ips'!$A$2:$A$403)-ROW(INDEX('macs_ips'!$A$2:$A$403,1,1))+1)/('macs_ips'!$E$2:$E$403=$J$1),ROW(A442))),"")</f>
        <v/>
      </c>
      <c r="F444" s="41">
        <f>IFERROR(INDEX('macs_ips'!$F$2:$F$403,AGGREGATE(15,6,(ROW('macs_ips'!$A$2:$A$403)-ROW(INDEX('macs_ips'!$A$2:$A$403,1,1))+1)/('macs_ips'!$E$2:$E$403=$J$1),ROW(A442))),"")</f>
        <v/>
      </c>
      <c r="G444" s="40">
        <f>IFERROR(INDEX('macs_ips'!$G$2:$G$403,AGGREGATE(15,6,(ROW('macs_ips'!$A$2:$A$403)-ROW(INDEX('macs_ips'!$A$2:$A$403,1,1))+1)/('macs_ips'!$E$2:$E$403=$J$1),ROW(A442))),"")</f>
        <v/>
      </c>
    </row>
    <row r="445">
      <c r="A445" s="40">
        <f>IFERROR(INDEX('macs_ips'!$A$2:$A$403,AGGREGATE(15,6,(ROW('macs_ips'!$A$2:$A$403)-ROW(INDEX('macs_ips'!$A$2:$A$403,1,1))+1)/('macs_ips'!$E$2:$E$403=$J$1),ROW(A443))),"")</f>
        <v/>
      </c>
      <c r="B445" s="40">
        <f>IFERROR(INDEX('macs_ips'!$B$2:$B$403,AGGREGATE(15,6,(ROW('macs_ips'!$A$2:$A$403)-ROW(INDEX('macs_ips'!$A$2:$A$403,1,1))+1)/('macs_ips'!$E$2:$E$403=$J$1),ROW(A443))),"")</f>
        <v/>
      </c>
      <c r="C445" s="40">
        <f>IFERROR(INDEX('macs_ips'!$C$2:$C$403,AGGREGATE(15,6,(ROW('macs_ips'!$A$2:$A$403)-ROW(INDEX('macs_ips'!$A$2:$A$403,1,1))+1)/('macs_ips'!$E$2:$E$403=$J$1),ROW(A443))),"")</f>
        <v/>
      </c>
      <c r="D445" s="41">
        <f>IFERROR(INDEX('macs_ips'!$D$2:$D$403,AGGREGATE(15,6,(ROW('macs_ips'!$A$2:$A$403)-ROW(INDEX('macs_ips'!$A$2:$A$403,1,1))+1)/('macs_ips'!$E$2:$E$403=$J$1),ROW(A443))),"")</f>
        <v/>
      </c>
      <c r="E445" s="40">
        <f>IFERROR(INDEX('macs_ips'!$E$2:$E$403,AGGREGATE(15,6,(ROW('macs_ips'!$A$2:$A$403)-ROW(INDEX('macs_ips'!$A$2:$A$403,1,1))+1)/('macs_ips'!$E$2:$E$403=$J$1),ROW(A443))),"")</f>
        <v/>
      </c>
      <c r="F445" s="41">
        <f>IFERROR(INDEX('macs_ips'!$F$2:$F$403,AGGREGATE(15,6,(ROW('macs_ips'!$A$2:$A$403)-ROW(INDEX('macs_ips'!$A$2:$A$403,1,1))+1)/('macs_ips'!$E$2:$E$403=$J$1),ROW(A443))),"")</f>
        <v/>
      </c>
      <c r="G445" s="40">
        <f>IFERROR(INDEX('macs_ips'!$G$2:$G$403,AGGREGATE(15,6,(ROW('macs_ips'!$A$2:$A$403)-ROW(INDEX('macs_ips'!$A$2:$A$403,1,1))+1)/('macs_ips'!$E$2:$E$403=$J$1),ROW(A443))),"")</f>
        <v/>
      </c>
    </row>
    <row r="446">
      <c r="A446" s="40">
        <f>IFERROR(INDEX('macs_ips'!$A$2:$A$403,AGGREGATE(15,6,(ROW('macs_ips'!$A$2:$A$403)-ROW(INDEX('macs_ips'!$A$2:$A$403,1,1))+1)/('macs_ips'!$E$2:$E$403=$J$1),ROW(A444))),"")</f>
        <v/>
      </c>
      <c r="B446" s="40">
        <f>IFERROR(INDEX('macs_ips'!$B$2:$B$403,AGGREGATE(15,6,(ROW('macs_ips'!$A$2:$A$403)-ROW(INDEX('macs_ips'!$A$2:$A$403,1,1))+1)/('macs_ips'!$E$2:$E$403=$J$1),ROW(A444))),"")</f>
        <v/>
      </c>
      <c r="C446" s="40">
        <f>IFERROR(INDEX('macs_ips'!$C$2:$C$403,AGGREGATE(15,6,(ROW('macs_ips'!$A$2:$A$403)-ROW(INDEX('macs_ips'!$A$2:$A$403,1,1))+1)/('macs_ips'!$E$2:$E$403=$J$1),ROW(A444))),"")</f>
        <v/>
      </c>
      <c r="D446" s="41">
        <f>IFERROR(INDEX('macs_ips'!$D$2:$D$403,AGGREGATE(15,6,(ROW('macs_ips'!$A$2:$A$403)-ROW(INDEX('macs_ips'!$A$2:$A$403,1,1))+1)/('macs_ips'!$E$2:$E$403=$J$1),ROW(A444))),"")</f>
        <v/>
      </c>
      <c r="E446" s="40">
        <f>IFERROR(INDEX('macs_ips'!$E$2:$E$403,AGGREGATE(15,6,(ROW('macs_ips'!$A$2:$A$403)-ROW(INDEX('macs_ips'!$A$2:$A$403,1,1))+1)/('macs_ips'!$E$2:$E$403=$J$1),ROW(A444))),"")</f>
        <v/>
      </c>
      <c r="F446" s="41">
        <f>IFERROR(INDEX('macs_ips'!$F$2:$F$403,AGGREGATE(15,6,(ROW('macs_ips'!$A$2:$A$403)-ROW(INDEX('macs_ips'!$A$2:$A$403,1,1))+1)/('macs_ips'!$E$2:$E$403=$J$1),ROW(A444))),"")</f>
        <v/>
      </c>
      <c r="G446" s="40">
        <f>IFERROR(INDEX('macs_ips'!$G$2:$G$403,AGGREGATE(15,6,(ROW('macs_ips'!$A$2:$A$403)-ROW(INDEX('macs_ips'!$A$2:$A$403,1,1))+1)/('macs_ips'!$E$2:$E$403=$J$1),ROW(A444))),"")</f>
        <v/>
      </c>
    </row>
    <row r="447">
      <c r="A447" s="40">
        <f>IFERROR(INDEX('macs_ips'!$A$2:$A$403,AGGREGATE(15,6,(ROW('macs_ips'!$A$2:$A$403)-ROW(INDEX('macs_ips'!$A$2:$A$403,1,1))+1)/('macs_ips'!$E$2:$E$403=$J$1),ROW(A445))),"")</f>
        <v/>
      </c>
      <c r="B447" s="40">
        <f>IFERROR(INDEX('macs_ips'!$B$2:$B$403,AGGREGATE(15,6,(ROW('macs_ips'!$A$2:$A$403)-ROW(INDEX('macs_ips'!$A$2:$A$403,1,1))+1)/('macs_ips'!$E$2:$E$403=$J$1),ROW(A445))),"")</f>
        <v/>
      </c>
      <c r="C447" s="40">
        <f>IFERROR(INDEX('macs_ips'!$C$2:$C$403,AGGREGATE(15,6,(ROW('macs_ips'!$A$2:$A$403)-ROW(INDEX('macs_ips'!$A$2:$A$403,1,1))+1)/('macs_ips'!$E$2:$E$403=$J$1),ROW(A445))),"")</f>
        <v/>
      </c>
      <c r="D447" s="41">
        <f>IFERROR(INDEX('macs_ips'!$D$2:$D$403,AGGREGATE(15,6,(ROW('macs_ips'!$A$2:$A$403)-ROW(INDEX('macs_ips'!$A$2:$A$403,1,1))+1)/('macs_ips'!$E$2:$E$403=$J$1),ROW(A445))),"")</f>
        <v/>
      </c>
      <c r="E447" s="40">
        <f>IFERROR(INDEX('macs_ips'!$E$2:$E$403,AGGREGATE(15,6,(ROW('macs_ips'!$A$2:$A$403)-ROW(INDEX('macs_ips'!$A$2:$A$403,1,1))+1)/('macs_ips'!$E$2:$E$403=$J$1),ROW(A445))),"")</f>
        <v/>
      </c>
      <c r="F447" s="41">
        <f>IFERROR(INDEX('macs_ips'!$F$2:$F$403,AGGREGATE(15,6,(ROW('macs_ips'!$A$2:$A$403)-ROW(INDEX('macs_ips'!$A$2:$A$403,1,1))+1)/('macs_ips'!$E$2:$E$403=$J$1),ROW(A445))),"")</f>
        <v/>
      </c>
      <c r="G447" s="40">
        <f>IFERROR(INDEX('macs_ips'!$G$2:$G$403,AGGREGATE(15,6,(ROW('macs_ips'!$A$2:$A$403)-ROW(INDEX('macs_ips'!$A$2:$A$403,1,1))+1)/('macs_ips'!$E$2:$E$403=$J$1),ROW(A445))),"")</f>
        <v/>
      </c>
    </row>
    <row r="448">
      <c r="A448" s="40">
        <f>IFERROR(INDEX('macs_ips'!$A$2:$A$403,AGGREGATE(15,6,(ROW('macs_ips'!$A$2:$A$403)-ROW(INDEX('macs_ips'!$A$2:$A$403,1,1))+1)/('macs_ips'!$E$2:$E$403=$J$1),ROW(A446))),"")</f>
        <v/>
      </c>
      <c r="B448" s="40">
        <f>IFERROR(INDEX('macs_ips'!$B$2:$B$403,AGGREGATE(15,6,(ROW('macs_ips'!$A$2:$A$403)-ROW(INDEX('macs_ips'!$A$2:$A$403,1,1))+1)/('macs_ips'!$E$2:$E$403=$J$1),ROW(A446))),"")</f>
        <v/>
      </c>
      <c r="C448" s="40">
        <f>IFERROR(INDEX('macs_ips'!$C$2:$C$403,AGGREGATE(15,6,(ROW('macs_ips'!$A$2:$A$403)-ROW(INDEX('macs_ips'!$A$2:$A$403,1,1))+1)/('macs_ips'!$E$2:$E$403=$J$1),ROW(A446))),"")</f>
        <v/>
      </c>
      <c r="D448" s="41">
        <f>IFERROR(INDEX('macs_ips'!$D$2:$D$403,AGGREGATE(15,6,(ROW('macs_ips'!$A$2:$A$403)-ROW(INDEX('macs_ips'!$A$2:$A$403,1,1))+1)/('macs_ips'!$E$2:$E$403=$J$1),ROW(A446))),"")</f>
        <v/>
      </c>
      <c r="E448" s="40">
        <f>IFERROR(INDEX('macs_ips'!$E$2:$E$403,AGGREGATE(15,6,(ROW('macs_ips'!$A$2:$A$403)-ROW(INDEX('macs_ips'!$A$2:$A$403,1,1))+1)/('macs_ips'!$E$2:$E$403=$J$1),ROW(A446))),"")</f>
        <v/>
      </c>
      <c r="F448" s="41">
        <f>IFERROR(INDEX('macs_ips'!$F$2:$F$403,AGGREGATE(15,6,(ROW('macs_ips'!$A$2:$A$403)-ROW(INDEX('macs_ips'!$A$2:$A$403,1,1))+1)/('macs_ips'!$E$2:$E$403=$J$1),ROW(A446))),"")</f>
        <v/>
      </c>
      <c r="G448" s="40">
        <f>IFERROR(INDEX('macs_ips'!$G$2:$G$403,AGGREGATE(15,6,(ROW('macs_ips'!$A$2:$A$403)-ROW(INDEX('macs_ips'!$A$2:$A$403,1,1))+1)/('macs_ips'!$E$2:$E$403=$J$1),ROW(A446))),"")</f>
        <v/>
      </c>
    </row>
    <row r="449">
      <c r="A449" s="40">
        <f>IFERROR(INDEX('macs_ips'!$A$2:$A$403,AGGREGATE(15,6,(ROW('macs_ips'!$A$2:$A$403)-ROW(INDEX('macs_ips'!$A$2:$A$403,1,1))+1)/('macs_ips'!$E$2:$E$403=$J$1),ROW(A447))),"")</f>
        <v/>
      </c>
      <c r="B449" s="40">
        <f>IFERROR(INDEX('macs_ips'!$B$2:$B$403,AGGREGATE(15,6,(ROW('macs_ips'!$A$2:$A$403)-ROW(INDEX('macs_ips'!$A$2:$A$403,1,1))+1)/('macs_ips'!$E$2:$E$403=$J$1),ROW(A447))),"")</f>
        <v/>
      </c>
      <c r="C449" s="40">
        <f>IFERROR(INDEX('macs_ips'!$C$2:$C$403,AGGREGATE(15,6,(ROW('macs_ips'!$A$2:$A$403)-ROW(INDEX('macs_ips'!$A$2:$A$403,1,1))+1)/('macs_ips'!$E$2:$E$403=$J$1),ROW(A447))),"")</f>
        <v/>
      </c>
      <c r="D449" s="41">
        <f>IFERROR(INDEX('macs_ips'!$D$2:$D$403,AGGREGATE(15,6,(ROW('macs_ips'!$A$2:$A$403)-ROW(INDEX('macs_ips'!$A$2:$A$403,1,1))+1)/('macs_ips'!$E$2:$E$403=$J$1),ROW(A447))),"")</f>
        <v/>
      </c>
      <c r="E449" s="40">
        <f>IFERROR(INDEX('macs_ips'!$E$2:$E$403,AGGREGATE(15,6,(ROW('macs_ips'!$A$2:$A$403)-ROW(INDEX('macs_ips'!$A$2:$A$403,1,1))+1)/('macs_ips'!$E$2:$E$403=$J$1),ROW(A447))),"")</f>
        <v/>
      </c>
      <c r="F449" s="41">
        <f>IFERROR(INDEX('macs_ips'!$F$2:$F$403,AGGREGATE(15,6,(ROW('macs_ips'!$A$2:$A$403)-ROW(INDEX('macs_ips'!$A$2:$A$403,1,1))+1)/('macs_ips'!$E$2:$E$403=$J$1),ROW(A447))),"")</f>
        <v/>
      </c>
      <c r="G449" s="40">
        <f>IFERROR(INDEX('macs_ips'!$G$2:$G$403,AGGREGATE(15,6,(ROW('macs_ips'!$A$2:$A$403)-ROW(INDEX('macs_ips'!$A$2:$A$403,1,1))+1)/('macs_ips'!$E$2:$E$403=$J$1),ROW(A447))),"")</f>
        <v/>
      </c>
    </row>
    <row r="450">
      <c r="A450" s="40">
        <f>IFERROR(INDEX('macs_ips'!$A$2:$A$403,AGGREGATE(15,6,(ROW('macs_ips'!$A$2:$A$403)-ROW(INDEX('macs_ips'!$A$2:$A$403,1,1))+1)/('macs_ips'!$E$2:$E$403=$J$1),ROW(A448))),"")</f>
        <v/>
      </c>
      <c r="B450" s="40">
        <f>IFERROR(INDEX('macs_ips'!$B$2:$B$403,AGGREGATE(15,6,(ROW('macs_ips'!$A$2:$A$403)-ROW(INDEX('macs_ips'!$A$2:$A$403,1,1))+1)/('macs_ips'!$E$2:$E$403=$J$1),ROW(A448))),"")</f>
        <v/>
      </c>
      <c r="C450" s="40">
        <f>IFERROR(INDEX('macs_ips'!$C$2:$C$403,AGGREGATE(15,6,(ROW('macs_ips'!$A$2:$A$403)-ROW(INDEX('macs_ips'!$A$2:$A$403,1,1))+1)/('macs_ips'!$E$2:$E$403=$J$1),ROW(A448))),"")</f>
        <v/>
      </c>
      <c r="D450" s="41">
        <f>IFERROR(INDEX('macs_ips'!$D$2:$D$403,AGGREGATE(15,6,(ROW('macs_ips'!$A$2:$A$403)-ROW(INDEX('macs_ips'!$A$2:$A$403,1,1))+1)/('macs_ips'!$E$2:$E$403=$J$1),ROW(A448))),"")</f>
        <v/>
      </c>
      <c r="E450" s="40">
        <f>IFERROR(INDEX('macs_ips'!$E$2:$E$403,AGGREGATE(15,6,(ROW('macs_ips'!$A$2:$A$403)-ROW(INDEX('macs_ips'!$A$2:$A$403,1,1))+1)/('macs_ips'!$E$2:$E$403=$J$1),ROW(A448))),"")</f>
        <v/>
      </c>
      <c r="F450" s="41">
        <f>IFERROR(INDEX('macs_ips'!$F$2:$F$403,AGGREGATE(15,6,(ROW('macs_ips'!$A$2:$A$403)-ROW(INDEX('macs_ips'!$A$2:$A$403,1,1))+1)/('macs_ips'!$E$2:$E$403=$J$1),ROW(A448))),"")</f>
        <v/>
      </c>
      <c r="G450" s="40">
        <f>IFERROR(INDEX('macs_ips'!$G$2:$G$403,AGGREGATE(15,6,(ROW('macs_ips'!$A$2:$A$403)-ROW(INDEX('macs_ips'!$A$2:$A$403,1,1))+1)/('macs_ips'!$E$2:$E$403=$J$1),ROW(A448))),"")</f>
        <v/>
      </c>
    </row>
    <row r="451">
      <c r="A451" s="40">
        <f>IFERROR(INDEX('macs_ips'!$A$2:$A$403,AGGREGATE(15,6,(ROW('macs_ips'!$A$2:$A$403)-ROW(INDEX('macs_ips'!$A$2:$A$403,1,1))+1)/('macs_ips'!$E$2:$E$403=$J$1),ROW(A449))),"")</f>
        <v/>
      </c>
      <c r="B451" s="40">
        <f>IFERROR(INDEX('macs_ips'!$B$2:$B$403,AGGREGATE(15,6,(ROW('macs_ips'!$A$2:$A$403)-ROW(INDEX('macs_ips'!$A$2:$A$403,1,1))+1)/('macs_ips'!$E$2:$E$403=$J$1),ROW(A449))),"")</f>
        <v/>
      </c>
      <c r="C451" s="40">
        <f>IFERROR(INDEX('macs_ips'!$C$2:$C$403,AGGREGATE(15,6,(ROW('macs_ips'!$A$2:$A$403)-ROW(INDEX('macs_ips'!$A$2:$A$403,1,1))+1)/('macs_ips'!$E$2:$E$403=$J$1),ROW(A449))),"")</f>
        <v/>
      </c>
      <c r="D451" s="41">
        <f>IFERROR(INDEX('macs_ips'!$D$2:$D$403,AGGREGATE(15,6,(ROW('macs_ips'!$A$2:$A$403)-ROW(INDEX('macs_ips'!$A$2:$A$403,1,1))+1)/('macs_ips'!$E$2:$E$403=$J$1),ROW(A449))),"")</f>
        <v/>
      </c>
      <c r="E451" s="40">
        <f>IFERROR(INDEX('macs_ips'!$E$2:$E$403,AGGREGATE(15,6,(ROW('macs_ips'!$A$2:$A$403)-ROW(INDEX('macs_ips'!$A$2:$A$403,1,1))+1)/('macs_ips'!$E$2:$E$403=$J$1),ROW(A449))),"")</f>
        <v/>
      </c>
      <c r="F451" s="41">
        <f>IFERROR(INDEX('macs_ips'!$F$2:$F$403,AGGREGATE(15,6,(ROW('macs_ips'!$A$2:$A$403)-ROW(INDEX('macs_ips'!$A$2:$A$403,1,1))+1)/('macs_ips'!$E$2:$E$403=$J$1),ROW(A449))),"")</f>
        <v/>
      </c>
      <c r="G451" s="40">
        <f>IFERROR(INDEX('macs_ips'!$G$2:$G$403,AGGREGATE(15,6,(ROW('macs_ips'!$A$2:$A$403)-ROW(INDEX('macs_ips'!$A$2:$A$403,1,1))+1)/('macs_ips'!$E$2:$E$403=$J$1),ROW(A449))),"")</f>
        <v/>
      </c>
    </row>
    <row r="452">
      <c r="A452" s="40">
        <f>IFERROR(INDEX('macs_ips'!$A$2:$A$403,AGGREGATE(15,6,(ROW('macs_ips'!$A$2:$A$403)-ROW(INDEX('macs_ips'!$A$2:$A$403,1,1))+1)/('macs_ips'!$E$2:$E$403=$J$1),ROW(A450))),"")</f>
        <v/>
      </c>
      <c r="B452" s="40">
        <f>IFERROR(INDEX('macs_ips'!$B$2:$B$403,AGGREGATE(15,6,(ROW('macs_ips'!$A$2:$A$403)-ROW(INDEX('macs_ips'!$A$2:$A$403,1,1))+1)/('macs_ips'!$E$2:$E$403=$J$1),ROW(A450))),"")</f>
        <v/>
      </c>
      <c r="C452" s="40">
        <f>IFERROR(INDEX('macs_ips'!$C$2:$C$403,AGGREGATE(15,6,(ROW('macs_ips'!$A$2:$A$403)-ROW(INDEX('macs_ips'!$A$2:$A$403,1,1))+1)/('macs_ips'!$E$2:$E$403=$J$1),ROW(A450))),"")</f>
        <v/>
      </c>
      <c r="D452" s="41">
        <f>IFERROR(INDEX('macs_ips'!$D$2:$D$403,AGGREGATE(15,6,(ROW('macs_ips'!$A$2:$A$403)-ROW(INDEX('macs_ips'!$A$2:$A$403,1,1))+1)/('macs_ips'!$E$2:$E$403=$J$1),ROW(A450))),"")</f>
        <v/>
      </c>
      <c r="E452" s="40">
        <f>IFERROR(INDEX('macs_ips'!$E$2:$E$403,AGGREGATE(15,6,(ROW('macs_ips'!$A$2:$A$403)-ROW(INDEX('macs_ips'!$A$2:$A$403,1,1))+1)/('macs_ips'!$E$2:$E$403=$J$1),ROW(A450))),"")</f>
        <v/>
      </c>
      <c r="F452" s="41">
        <f>IFERROR(INDEX('macs_ips'!$F$2:$F$403,AGGREGATE(15,6,(ROW('macs_ips'!$A$2:$A$403)-ROW(INDEX('macs_ips'!$A$2:$A$403,1,1))+1)/('macs_ips'!$E$2:$E$403=$J$1),ROW(A450))),"")</f>
        <v/>
      </c>
      <c r="G452" s="40">
        <f>IFERROR(INDEX('macs_ips'!$G$2:$G$403,AGGREGATE(15,6,(ROW('macs_ips'!$A$2:$A$403)-ROW(INDEX('macs_ips'!$A$2:$A$403,1,1))+1)/('macs_ips'!$E$2:$E$403=$J$1),ROW(A450))),"")</f>
        <v/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essineta</dc:creator>
  <dc:language xmlns:dc="http://purl.org/dc/elements/1.1/">en-US</dc:language>
  <dcterms:created xmlns:dcterms="http://purl.org/dc/terms/" xmlns:xsi="http://www.w3.org/2001/XMLSchema-instance" xsi:type="dcterms:W3CDTF">2026-02-04T08:26:48Z</dcterms:created>
  <dcterms:modified xmlns:dcterms="http://purl.org/dc/terms/" xmlns:xsi="http://www.w3.org/2001/XMLSchema-instance" xsi:type="dcterms:W3CDTF">2026-02-05T22:04:47Z</dcterms:modified>
  <cp:lastModifiedBy>Helpdesk</cp:lastModifiedBy>
  <cp:revision>0</cp:revision>
</cp:coreProperties>
</file>